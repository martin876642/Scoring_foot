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arti\OneDrive\Documents\Scoring_foot\"/>
    </mc:Choice>
  </mc:AlternateContent>
  <xr:revisionPtr revIDLastSave="0" documentId="13_ncr:1_{469DF97C-7799-4351-A2DC-FEAB9230CFAB}" xr6:coauthVersionLast="47" xr6:coauthVersionMax="47" xr10:uidLastSave="{00000000-0000-0000-0000-000000000000}"/>
  <bookViews>
    <workbookView xWindow="-103" yWindow="-103" windowWidth="22149" windowHeight="11829" firstSheet="1" activeTab="1" xr2:uid="{1797EA93-D725-4B9A-894D-F559EE75E7B3}"/>
  </bookViews>
  <sheets>
    <sheet name="feature_catalog" sheetId="1" r:id="rId1"/>
    <sheet name="gardien_classique" sheetId="3" r:id="rId2"/>
    <sheet name="gardien_libero" sheetId="4" r:id="rId3"/>
    <sheet name="gardien_relanceur" sheetId="5" r:id="rId4"/>
    <sheet name="defenseur_central" sheetId="6" r:id="rId5"/>
    <sheet name="relanceur" sheetId="7" r:id="rId6"/>
    <sheet name="stoppeur" sheetId="8" r:id="rId7"/>
    <sheet name="libero_defensif" sheetId="9" r:id="rId8"/>
    <sheet name="tour_de_controle" sheetId="10" r:id="rId9"/>
    <sheet name="aventureux" sheetId="11" r:id="rId10"/>
    <sheet name="lateral_classique" sheetId="12" r:id="rId11"/>
    <sheet name="piston" sheetId="13" r:id="rId12"/>
    <sheet name="defenseur_lateral" sheetId="14" r:id="rId13"/>
    <sheet name="lateral_inverse" sheetId="15" r:id="rId14"/>
    <sheet name="lateral_pressing" sheetId="16" r:id="rId15"/>
    <sheet name="sentinelle" sheetId="17" r:id="rId16"/>
    <sheet name="recuperateur_DM" sheetId="18" r:id="rId17"/>
    <sheet name="meneur_jeu_recule_DM" sheetId="19" r:id="rId18"/>
    <sheet name="recuperateur_CM" sheetId="20" r:id="rId19"/>
    <sheet name="box_to_box" sheetId="21" r:id="rId20"/>
    <sheet name="meneur_jeu_offensif_CM" sheetId="22" r:id="rId21"/>
    <sheet name="meneur_jeu_recule_CM" sheetId="23" r:id="rId22"/>
    <sheet name="electron_libre" sheetId="24" r:id="rId23"/>
    <sheet name="meneur_jeu_offensif_AM" sheetId="25" r:id="rId24"/>
    <sheet name="interieur" sheetId="26" r:id="rId25"/>
    <sheet name="profondeur_W" sheetId="27" r:id="rId26"/>
    <sheet name="percuteur" sheetId="28" r:id="rId27"/>
    <sheet name="excentre" sheetId="30" r:id="rId28"/>
    <sheet name="ailier_defensif" sheetId="31" r:id="rId29"/>
    <sheet name="Pivot" sheetId="32" r:id="rId30"/>
    <sheet name="profondeur_CF" sheetId="33" r:id="rId31"/>
    <sheet name="faux_9" sheetId="34" r:id="rId32"/>
    <sheet name="renard_surfaces" sheetId="35" r:id="rId33"/>
    <sheet name="attaquant_pressing" sheetId="36" r:id="rId3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 i="25" l="1"/>
  <c r="K10" i="25"/>
  <c r="K11" i="25"/>
  <c r="K12" i="25"/>
  <c r="K14" i="25"/>
  <c r="K16" i="25"/>
  <c r="M40" i="23"/>
  <c r="M39" i="23"/>
  <c r="M38" i="23"/>
  <c r="M37" i="23"/>
  <c r="M36" i="23"/>
  <c r="M35" i="23"/>
  <c r="M34" i="23"/>
  <c r="M33" i="23"/>
  <c r="M32" i="23"/>
  <c r="M31" i="23"/>
  <c r="M30" i="23"/>
  <c r="M29" i="23"/>
  <c r="M28" i="23"/>
  <c r="M27" i="23"/>
  <c r="M26" i="23"/>
  <c r="M25" i="23"/>
  <c r="M24" i="23"/>
  <c r="M23" i="23"/>
  <c r="M22" i="23"/>
  <c r="M21" i="23"/>
  <c r="M20" i="23"/>
  <c r="M19" i="23"/>
  <c r="M18" i="23"/>
  <c r="M17" i="23"/>
  <c r="M16" i="23"/>
  <c r="M15" i="23"/>
  <c r="M14" i="23"/>
  <c r="M13" i="23"/>
  <c r="M12" i="23"/>
  <c r="M11" i="23"/>
  <c r="M10" i="23"/>
  <c r="M9" i="23"/>
  <c r="M8" i="23"/>
  <c r="M7" i="23"/>
  <c r="M6" i="23"/>
  <c r="M5" i="23"/>
  <c r="M4" i="23"/>
  <c r="M3" i="23"/>
  <c r="M2" i="23"/>
  <c r="M41" i="22"/>
  <c r="M40" i="22"/>
  <c r="M39" i="22"/>
  <c r="M38" i="22"/>
  <c r="M37" i="22"/>
  <c r="M36" i="22"/>
  <c r="M35" i="22"/>
  <c r="M34" i="22"/>
  <c r="M33" i="22"/>
  <c r="M32" i="22"/>
  <c r="M31" i="22"/>
  <c r="M30" i="22"/>
  <c r="M29" i="22"/>
  <c r="M28" i="22"/>
  <c r="M27" i="22"/>
  <c r="M26" i="22"/>
  <c r="M25" i="22"/>
  <c r="M24" i="22"/>
  <c r="M23" i="22"/>
  <c r="M22" i="22"/>
  <c r="M21" i="22"/>
  <c r="M20" i="22"/>
  <c r="M19" i="22"/>
  <c r="M18" i="22"/>
  <c r="M17" i="22"/>
  <c r="M16" i="22"/>
  <c r="M15" i="22"/>
  <c r="M14" i="22"/>
  <c r="M13" i="22"/>
  <c r="M12" i="22"/>
  <c r="M11" i="22"/>
  <c r="M10" i="22"/>
  <c r="M9" i="22"/>
  <c r="M8" i="22"/>
  <c r="M7" i="22"/>
  <c r="M6" i="22"/>
  <c r="M5" i="22"/>
  <c r="M4" i="22"/>
  <c r="M3" i="22"/>
  <c r="M2" i="22"/>
  <c r="M26" i="21"/>
  <c r="M27" i="21"/>
  <c r="M28" i="21"/>
  <c r="M29" i="21"/>
  <c r="M30" i="21"/>
  <c r="M31" i="21"/>
  <c r="M32" i="21"/>
  <c r="M33" i="21"/>
  <c r="M34" i="21"/>
  <c r="M35" i="21"/>
  <c r="M36" i="21"/>
  <c r="M37" i="21"/>
  <c r="M38" i="21"/>
  <c r="M39" i="21"/>
  <c r="M40" i="21"/>
  <c r="M41" i="21"/>
  <c r="M42" i="21"/>
  <c r="M43" i="21"/>
  <c r="M25" i="21"/>
  <c r="M24" i="21"/>
  <c r="M23" i="21"/>
  <c r="M22" i="21"/>
  <c r="M21" i="21"/>
  <c r="M20" i="21"/>
  <c r="M19" i="21"/>
  <c r="M18" i="21"/>
  <c r="M17" i="21"/>
  <c r="M16" i="21"/>
  <c r="M15" i="21"/>
  <c r="M14" i="21"/>
  <c r="M13" i="21"/>
  <c r="M12" i="21"/>
  <c r="M11" i="21"/>
  <c r="M10" i="21"/>
  <c r="M9" i="21"/>
  <c r="M8" i="21"/>
  <c r="M7" i="21"/>
  <c r="M6" i="21"/>
  <c r="M5" i="21"/>
  <c r="M4" i="21"/>
  <c r="M3" i="21"/>
  <c r="M2" i="21"/>
  <c r="L26" i="20"/>
  <c r="L25" i="20"/>
  <c r="L24" i="20"/>
  <c r="L23" i="20"/>
  <c r="L22" i="20"/>
  <c r="L21" i="20"/>
  <c r="L20" i="20"/>
  <c r="L19" i="20"/>
  <c r="L18" i="20"/>
  <c r="L17" i="20"/>
  <c r="L16" i="20"/>
  <c r="L15" i="20"/>
  <c r="L14" i="20"/>
  <c r="L13" i="20"/>
  <c r="L12" i="20"/>
  <c r="L11" i="20"/>
  <c r="L10" i="20"/>
  <c r="L9" i="20"/>
  <c r="L8" i="20"/>
  <c r="L7" i="20"/>
  <c r="L6" i="20"/>
  <c r="L5" i="20"/>
  <c r="L4" i="20"/>
  <c r="L3" i="20"/>
  <c r="L2" i="20"/>
  <c r="L27" i="19"/>
  <c r="L26" i="19"/>
  <c r="L25" i="19"/>
  <c r="L24" i="19"/>
  <c r="L23" i="19"/>
  <c r="L22" i="19"/>
  <c r="L21" i="19"/>
  <c r="L20" i="19"/>
  <c r="L19" i="19"/>
  <c r="L18" i="19"/>
  <c r="L17" i="19"/>
  <c r="L16" i="19"/>
  <c r="L15" i="19"/>
  <c r="L14" i="19"/>
  <c r="L13" i="19"/>
  <c r="L12" i="19"/>
  <c r="L11" i="19"/>
  <c r="L10" i="19"/>
  <c r="L9" i="19"/>
  <c r="L8" i="19"/>
  <c r="L7" i="19"/>
  <c r="L6" i="19"/>
  <c r="L5" i="19"/>
  <c r="L4" i="19"/>
  <c r="L3" i="19"/>
  <c r="L2" i="19"/>
  <c r="L28" i="18"/>
  <c r="L27" i="18"/>
  <c r="L26" i="18"/>
  <c r="L25" i="18"/>
  <c r="L24" i="18"/>
  <c r="L23" i="18"/>
  <c r="L22" i="18"/>
  <c r="L21" i="18"/>
  <c r="L20" i="18"/>
  <c r="L19" i="18"/>
  <c r="L18" i="18"/>
  <c r="L17" i="18"/>
  <c r="L16" i="18"/>
  <c r="L15" i="18"/>
  <c r="L14" i="18"/>
  <c r="L13" i="18"/>
  <c r="L12" i="18"/>
  <c r="L11" i="18"/>
  <c r="L10" i="18"/>
  <c r="L9" i="18"/>
  <c r="L8" i="18"/>
  <c r="L7" i="18"/>
  <c r="L6" i="18"/>
  <c r="L5" i="18"/>
  <c r="L4" i="18"/>
  <c r="L3" i="18"/>
  <c r="L2" i="18"/>
  <c r="L29" i="17"/>
  <c r="L28" i="17"/>
  <c r="L27" i="17"/>
  <c r="L26" i="17"/>
  <c r="L25" i="17"/>
  <c r="L24" i="17"/>
  <c r="L23" i="17"/>
  <c r="L22" i="17"/>
  <c r="L21" i="17"/>
  <c r="L20" i="17"/>
  <c r="L19" i="17"/>
  <c r="L18" i="17"/>
  <c r="L17" i="17"/>
  <c r="L16" i="17"/>
  <c r="L15" i="17"/>
  <c r="L14" i="17"/>
  <c r="L13" i="17"/>
  <c r="L12" i="17"/>
  <c r="L11" i="17"/>
  <c r="L10" i="17"/>
  <c r="L9" i="17"/>
  <c r="L8" i="17"/>
  <c r="L7" i="17"/>
  <c r="L6" i="17"/>
  <c r="L5" i="17"/>
  <c r="L4" i="17"/>
  <c r="L3" i="17"/>
  <c r="L2" i="17"/>
  <c r="L29" i="16"/>
  <c r="L28" i="16"/>
  <c r="L27" i="16"/>
  <c r="L26" i="16"/>
  <c r="L25" i="16"/>
  <c r="L24" i="16"/>
  <c r="L23" i="16"/>
  <c r="L22" i="16"/>
  <c r="L21" i="16"/>
  <c r="L20" i="16"/>
  <c r="L19" i="16"/>
  <c r="L18" i="16"/>
  <c r="L17" i="16"/>
  <c r="L16" i="16"/>
  <c r="L15" i="16"/>
  <c r="L14" i="16"/>
  <c r="L13" i="16"/>
  <c r="L12" i="16"/>
  <c r="L11" i="16"/>
  <c r="L10" i="16"/>
  <c r="L9" i="16"/>
  <c r="L8" i="16"/>
  <c r="L7" i="16"/>
  <c r="L6" i="16"/>
  <c r="L5" i="16"/>
  <c r="L4" i="16"/>
  <c r="L3" i="16"/>
  <c r="L2" i="16"/>
  <c r="L30" i="15"/>
  <c r="L29" i="15"/>
  <c r="L28" i="15"/>
  <c r="L27" i="15"/>
  <c r="L26" i="15"/>
  <c r="L25" i="15"/>
  <c r="L24" i="15"/>
  <c r="L23" i="15"/>
  <c r="L22" i="15"/>
  <c r="L21" i="15"/>
  <c r="L20" i="15"/>
  <c r="L19" i="15"/>
  <c r="L18" i="15"/>
  <c r="L17" i="15"/>
  <c r="L16" i="15"/>
  <c r="L15" i="15"/>
  <c r="L14" i="15"/>
  <c r="L13" i="15"/>
  <c r="L12" i="15"/>
  <c r="L11" i="15"/>
  <c r="L10" i="15"/>
  <c r="L9" i="15"/>
  <c r="L8" i="15"/>
  <c r="L7" i="15"/>
  <c r="L6" i="15"/>
  <c r="L5" i="15"/>
  <c r="L4" i="15"/>
  <c r="L3" i="15"/>
  <c r="L2" i="15"/>
  <c r="M30" i="14"/>
  <c r="M29" i="14"/>
  <c r="M28" i="14"/>
  <c r="M27" i="14"/>
  <c r="M26" i="14"/>
  <c r="M25" i="14"/>
  <c r="M24" i="14"/>
  <c r="M23" i="14"/>
  <c r="M22" i="14"/>
  <c r="M21" i="14"/>
  <c r="M20" i="14"/>
  <c r="M19" i="14"/>
  <c r="M18" i="14"/>
  <c r="M17" i="14"/>
  <c r="M16" i="14"/>
  <c r="M15" i="14"/>
  <c r="M14" i="14"/>
  <c r="M13" i="14"/>
  <c r="M12" i="14"/>
  <c r="M11" i="14"/>
  <c r="M10" i="14"/>
  <c r="M9" i="14"/>
  <c r="M8" i="14"/>
  <c r="M7" i="14"/>
  <c r="M6" i="14"/>
  <c r="M5" i="14"/>
  <c r="M4" i="14"/>
  <c r="M3" i="14"/>
  <c r="M2" i="14"/>
  <c r="M27" i="13"/>
  <c r="M28" i="13"/>
  <c r="M29" i="13"/>
  <c r="M30" i="13"/>
  <c r="M26" i="13"/>
  <c r="M25" i="13"/>
  <c r="M24" i="13"/>
  <c r="M23" i="13"/>
  <c r="M22" i="13"/>
  <c r="M21" i="13"/>
  <c r="M20" i="13"/>
  <c r="M19" i="13"/>
  <c r="M18" i="13"/>
  <c r="M17" i="13"/>
  <c r="M16" i="13"/>
  <c r="M15" i="13"/>
  <c r="M14" i="13"/>
  <c r="M13" i="13"/>
  <c r="M12" i="13"/>
  <c r="M11" i="13"/>
  <c r="M10" i="13"/>
  <c r="M9" i="13"/>
  <c r="M8" i="13"/>
  <c r="M7" i="13"/>
  <c r="M6" i="13"/>
  <c r="M5" i="13"/>
  <c r="M4" i="13"/>
  <c r="M3" i="13"/>
  <c r="M2" i="13"/>
  <c r="L28" i="12"/>
  <c r="L29" i="12"/>
  <c r="L27" i="12"/>
  <c r="L26" i="12"/>
  <c r="L25" i="12"/>
  <c r="L24" i="12"/>
  <c r="L23" i="12"/>
  <c r="L22" i="12"/>
  <c r="L21" i="12"/>
  <c r="L20" i="12"/>
  <c r="L19" i="12"/>
  <c r="L18" i="12"/>
  <c r="L17" i="12"/>
  <c r="L16" i="12"/>
  <c r="L15" i="12"/>
  <c r="L14" i="12"/>
  <c r="L13" i="12"/>
  <c r="L12" i="12"/>
  <c r="L11" i="12"/>
  <c r="L10" i="12"/>
  <c r="L9" i="12"/>
  <c r="L8" i="12"/>
  <c r="L7" i="12"/>
  <c r="L6" i="12"/>
  <c r="L5" i="12"/>
  <c r="L4" i="12"/>
  <c r="L3" i="12"/>
  <c r="L2" i="12"/>
  <c r="M27" i="11"/>
  <c r="M26" i="11"/>
  <c r="M25" i="11"/>
  <c r="M24" i="11"/>
  <c r="M23" i="11"/>
  <c r="M22" i="11"/>
  <c r="M21" i="11"/>
  <c r="M20" i="11"/>
  <c r="M19" i="11"/>
  <c r="M18" i="11"/>
  <c r="M17" i="11"/>
  <c r="M16" i="11"/>
  <c r="M15" i="11"/>
  <c r="M14" i="11"/>
  <c r="M13" i="11"/>
  <c r="M12" i="11"/>
  <c r="M11" i="11"/>
  <c r="M10" i="11"/>
  <c r="M9" i="11"/>
  <c r="M8" i="11"/>
  <c r="M7" i="11"/>
  <c r="M6" i="11"/>
  <c r="M5" i="11"/>
  <c r="M4" i="11"/>
  <c r="M3" i="11"/>
  <c r="M2" i="11"/>
  <c r="L36" i="10"/>
  <c r="L35" i="10"/>
  <c r="L34" i="10"/>
  <c r="L33" i="10"/>
  <c r="L32" i="10"/>
  <c r="L31" i="10"/>
  <c r="L30" i="10"/>
  <c r="L29" i="10"/>
  <c r="L28" i="10"/>
  <c r="L27" i="10"/>
  <c r="L26" i="10"/>
  <c r="L25" i="10"/>
  <c r="L24" i="10"/>
  <c r="L23" i="10"/>
  <c r="L22" i="10"/>
  <c r="L21" i="10"/>
  <c r="L20" i="10"/>
  <c r="L19" i="10"/>
  <c r="L18" i="10"/>
  <c r="L17" i="10"/>
  <c r="L16" i="10"/>
  <c r="L15" i="10"/>
  <c r="L14" i="10"/>
  <c r="L13" i="10"/>
  <c r="L12" i="10"/>
  <c r="L11" i="10"/>
  <c r="L10" i="10"/>
  <c r="L9" i="10"/>
  <c r="L8" i="10"/>
  <c r="L7" i="10"/>
  <c r="L6" i="10"/>
  <c r="L5" i="10"/>
  <c r="L4" i="10"/>
  <c r="L3" i="10"/>
  <c r="L2" i="10"/>
  <c r="L37" i="9"/>
  <c r="L36" i="9"/>
  <c r="L35" i="9"/>
  <c r="L34" i="9"/>
  <c r="L33" i="9"/>
  <c r="L32" i="9"/>
  <c r="L31" i="9"/>
  <c r="L30" i="9"/>
  <c r="L29" i="9"/>
  <c r="L28" i="9"/>
  <c r="L27" i="9"/>
  <c r="L26" i="9"/>
  <c r="L25" i="9"/>
  <c r="L24" i="9"/>
  <c r="L23" i="9"/>
  <c r="L22" i="9"/>
  <c r="L21" i="9"/>
  <c r="L20" i="9"/>
  <c r="L19" i="9"/>
  <c r="L18" i="9"/>
  <c r="L17" i="9"/>
  <c r="L16" i="9"/>
  <c r="L15" i="9"/>
  <c r="L14" i="9"/>
  <c r="L13" i="9"/>
  <c r="L12" i="9"/>
  <c r="L11" i="9"/>
  <c r="L10" i="9"/>
  <c r="L9" i="9"/>
  <c r="L8" i="9"/>
  <c r="L7" i="9"/>
  <c r="L6" i="9"/>
  <c r="L5" i="9"/>
  <c r="L4" i="9"/>
  <c r="L3" i="9"/>
  <c r="L2" i="9"/>
  <c r="L37" i="8"/>
  <c r="L36" i="8"/>
  <c r="L35" i="8"/>
  <c r="L34" i="8"/>
  <c r="L33" i="8"/>
  <c r="L32" i="8"/>
  <c r="L31" i="8"/>
  <c r="L30" i="8"/>
  <c r="L29" i="8"/>
  <c r="L28" i="8"/>
  <c r="L27" i="8"/>
  <c r="L26" i="8"/>
  <c r="L25" i="8"/>
  <c r="L24" i="8"/>
  <c r="L23" i="8"/>
  <c r="L22" i="8"/>
  <c r="L21" i="8"/>
  <c r="L20" i="8"/>
  <c r="L19" i="8"/>
  <c r="L18" i="8"/>
  <c r="L17" i="8"/>
  <c r="L16" i="8"/>
  <c r="L15" i="8"/>
  <c r="L14" i="8"/>
  <c r="L13" i="8"/>
  <c r="L12" i="8"/>
  <c r="L11" i="8"/>
  <c r="L10" i="8"/>
  <c r="L9" i="8"/>
  <c r="L8" i="8"/>
  <c r="L7" i="8"/>
  <c r="L6" i="8"/>
  <c r="L5" i="8"/>
  <c r="L4" i="8"/>
  <c r="L3" i="8"/>
  <c r="L2" i="8"/>
  <c r="L30" i="7"/>
  <c r="L31" i="7"/>
  <c r="L32" i="7"/>
  <c r="L33" i="7"/>
  <c r="L34" i="7"/>
  <c r="L35" i="7"/>
  <c r="L36" i="7"/>
  <c r="L37" i="7"/>
  <c r="L29" i="7"/>
  <c r="L28" i="7"/>
  <c r="L27" i="7"/>
  <c r="L26" i="7"/>
  <c r="L25" i="7"/>
  <c r="L24" i="7"/>
  <c r="L23" i="7"/>
  <c r="L22" i="7"/>
  <c r="L21" i="7"/>
  <c r="L20" i="7"/>
  <c r="L19" i="7"/>
  <c r="L18" i="7"/>
  <c r="L17" i="7"/>
  <c r="L16" i="7"/>
  <c r="L15" i="7"/>
  <c r="L14" i="7"/>
  <c r="L13" i="7"/>
  <c r="L12" i="7"/>
  <c r="L11" i="7"/>
  <c r="L10" i="7"/>
  <c r="L9" i="7"/>
  <c r="L8" i="7"/>
  <c r="L7" i="7"/>
  <c r="L6" i="7"/>
  <c r="L5" i="7"/>
  <c r="L4" i="7"/>
  <c r="L3" i="7"/>
  <c r="L2" i="7"/>
  <c r="L7" i="6"/>
  <c r="L8" i="6"/>
  <c r="L9" i="6"/>
  <c r="L10" i="6"/>
  <c r="L11" i="6"/>
  <c r="L12" i="6"/>
  <c r="L13" i="6"/>
  <c r="L14" i="6"/>
  <c r="L15" i="6"/>
  <c r="L16" i="6"/>
  <c r="L17" i="6"/>
  <c r="L18" i="6"/>
  <c r="L19" i="6"/>
  <c r="L20" i="6"/>
  <c r="L21" i="6"/>
  <c r="L22" i="6"/>
  <c r="L23" i="6"/>
  <c r="L24" i="6"/>
  <c r="L25" i="6"/>
  <c r="L26" i="6"/>
  <c r="L27" i="6"/>
  <c r="L28" i="6"/>
  <c r="L29" i="6"/>
  <c r="L2" i="6"/>
  <c r="L3" i="6"/>
  <c r="L4" i="6"/>
  <c r="L5" i="6"/>
  <c r="L6" i="6"/>
  <c r="L2" i="5"/>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6" i="5"/>
  <c r="L35" i="5"/>
  <c r="L27" i="4"/>
  <c r="L28" i="4"/>
  <c r="L29" i="4"/>
  <c r="L30" i="4"/>
  <c r="L31" i="4"/>
  <c r="L32" i="4"/>
  <c r="L33" i="4"/>
  <c r="L3" i="4"/>
  <c r="L4" i="4"/>
  <c r="L5" i="4"/>
  <c r="L6" i="4"/>
  <c r="L7" i="4"/>
  <c r="L8" i="4"/>
  <c r="L9" i="4"/>
  <c r="L10" i="4"/>
  <c r="L11" i="4"/>
  <c r="L12" i="4"/>
  <c r="L13" i="4"/>
  <c r="L14" i="4"/>
  <c r="L15" i="4"/>
  <c r="L16" i="4"/>
  <c r="L17" i="4"/>
  <c r="L18" i="4"/>
  <c r="L19" i="4"/>
  <c r="L20" i="4"/>
  <c r="L21" i="4"/>
  <c r="L22" i="4"/>
  <c r="L23" i="4"/>
  <c r="L24" i="4"/>
  <c r="L25" i="4"/>
  <c r="L26" i="4"/>
  <c r="L2" i="4"/>
  <c r="L3" i="3"/>
  <c r="L4" i="3"/>
  <c r="L5" i="3"/>
  <c r="L6" i="3"/>
  <c r="L7" i="3"/>
  <c r="L8" i="3"/>
  <c r="L9" i="3"/>
  <c r="L10" i="3"/>
  <c r="L11" i="3"/>
  <c r="L12" i="3"/>
  <c r="L13" i="3"/>
  <c r="L14" i="3"/>
  <c r="L15" i="3"/>
  <c r="L16" i="3"/>
  <c r="L17" i="3"/>
  <c r="L18" i="3"/>
  <c r="L19" i="3"/>
  <c r="L20" i="3"/>
  <c r="L21" i="3"/>
  <c r="L22" i="3"/>
  <c r="L23" i="3"/>
  <c r="L24" i="3"/>
  <c r="L25" i="3"/>
  <c r="L26" i="3"/>
  <c r="L27" i="3"/>
  <c r="L28" i="3"/>
  <c r="L29" i="3"/>
  <c r="L30" i="3"/>
  <c r="L2" i="3"/>
  <c r="K31" i="23"/>
  <c r="K30" i="23"/>
  <c r="K29" i="23"/>
  <c r="K27" i="23"/>
  <c r="K26" i="23"/>
  <c r="K18" i="23"/>
  <c r="K14" i="23"/>
  <c r="K4" i="23"/>
  <c r="K3" i="23"/>
  <c r="K2" i="23"/>
  <c r="K3" i="20"/>
  <c r="K4" i="20"/>
  <c r="K10" i="20"/>
  <c r="K22" i="20"/>
  <c r="K25" i="16"/>
  <c r="K23" i="16"/>
  <c r="K20" i="16"/>
  <c r="K18" i="16"/>
  <c r="K13" i="16"/>
  <c r="K12" i="16"/>
  <c r="K11" i="16"/>
  <c r="K28" i="15"/>
  <c r="K27" i="15"/>
  <c r="K24" i="15"/>
  <c r="K23" i="15"/>
  <c r="K22" i="15"/>
  <c r="K11" i="15"/>
  <c r="K9" i="15"/>
  <c r="K7" i="15"/>
  <c r="K5" i="15"/>
  <c r="K4" i="15"/>
  <c r="K23" i="14"/>
  <c r="K22" i="14"/>
  <c r="K19" i="14"/>
  <c r="K16" i="14"/>
  <c r="K15" i="14"/>
  <c r="K10" i="14"/>
  <c r="K6" i="14"/>
  <c r="K5" i="14"/>
  <c r="K3" i="14"/>
  <c r="K27" i="13"/>
  <c r="K26" i="13"/>
  <c r="K25" i="13"/>
  <c r="K17" i="13"/>
  <c r="K13" i="13"/>
  <c r="K10" i="13"/>
  <c r="K6" i="13"/>
  <c r="K3" i="13"/>
  <c r="K11" i="11"/>
  <c r="K18" i="10"/>
  <c r="K19" i="10"/>
  <c r="K22" i="8"/>
</calcChain>
</file>

<file path=xl/sharedStrings.xml><?xml version="1.0" encoding="utf-8"?>
<sst xmlns="http://schemas.openxmlformats.org/spreadsheetml/2006/main" count="10056" uniqueCount="676">
  <si>
    <t>source_column</t>
  </si>
  <si>
    <t>feature_name</t>
  </si>
  <si>
    <t>type</t>
  </si>
  <si>
    <t>description</t>
  </si>
  <si>
    <t>exemple</t>
  </si>
  <si>
    <t>relevant_roles</t>
  </si>
  <si>
    <t>inverted</t>
  </si>
  <si>
    <t>feat_col</t>
  </si>
  <si>
    <t>z_col</t>
  </si>
  <si>
    <t>goals</t>
  </si>
  <si>
    <t>goals_p90</t>
  </si>
  <si>
    <t>vol</t>
  </si>
  <si>
    <t>But marqué — ballon franchissant entièrement la ligne de but, attribué au dernier joueur ayant touché le ballon intentionnellement</t>
  </si>
  <si>
    <t>Haaland reprend un centre de Bernardo Silva du pied droit — but</t>
  </si>
  <si>
    <t>CF|W|AM|SS</t>
  </si>
  <si>
    <t>False</t>
  </si>
  <si>
    <t>feat_goals_p90</t>
  </si>
  <si>
    <t>z_goals_p90</t>
  </si>
  <si>
    <t>expectedGoals</t>
  </si>
  <si>
    <t>xg_p90</t>
  </si>
  <si>
    <t>Probabilité qu'un tir donné se transforme en but, calculée sur la base de situations similaires dans la base historique Opta (~1 million de tirs). Facteurs : position, partie du corps, type de situation (ouvert/corner/coup franc), pression défensive. Échelle 0-1.</t>
  </si>
  <si>
    <t>Tir du pied droit à 12m face au but, sans gardien sorti : xG=0.38. Même tir de l'extérieur de la surface : xG=0.05</t>
  </si>
  <si>
    <t>CF|W|AM|SS|CM</t>
  </si>
  <si>
    <t>feat_xg_p90</t>
  </si>
  <si>
    <t>z_xg_p90</t>
  </si>
  <si>
    <t>npxG_us</t>
  </si>
  <si>
    <t>npxg_p90</t>
  </si>
  <si>
    <t>xG total du joueur sur la saison, pénaltys exclus. Les pénaltys étant des tirs à xG fixe ~0.76 quelle que soit la qualité du tireur, ils sont retirés pour mesurer la vraie qualité des occasions en jeu ouvert.</t>
  </si>
  <si>
    <t>Joueur avec 18 xG dont 4 sur pénaltys → npxG = 14</t>
  </si>
  <si>
    <t>feat_npxg_p90</t>
  </si>
  <si>
    <t>z_npxg_p90</t>
  </si>
  <si>
    <t>xGChain_us</t>
  </si>
  <si>
    <t>xgchain_p90</t>
  </si>
  <si>
    <t>Somme des xG de toutes les occasions auxquelles le joueur a participé dans la séquence de jeu, qu'il ait tiré, passé, ou simplement touché le ballon à n'importe quel moment de l'action. Très inclusif.</t>
  </si>
  <si>
    <t>Modric touche le ballon 3 passes avant le tir de Benzema (xG=0.25) → Modric reçoit 0.25 dans son xGChain</t>
  </si>
  <si>
    <t>CF|W|AM|CM|DM|FB</t>
  </si>
  <si>
    <t>feat_xgchain_p90</t>
  </si>
  <si>
    <t>z_xgchain_p90</t>
  </si>
  <si>
    <t>xGBuildup_us</t>
  </si>
  <si>
    <t>xgbuildup_p90</t>
  </si>
  <si>
    <t>xGChain moins la contribution directe du tireur (xG) et du passeur décisif (xA). Mesure exclusivement les touches 'invisibles' en amont de la phase finale — la contribution à la construction profonde.</t>
  </si>
  <si>
    <t>Cancelo → De Bruyne → Haaland (but, xG=0.45). Cancelo : xGBuildup=0.45. De Bruyne : xGBuildup=0 (passeur déc. exclu). Haaland : xGBuildup=0 (tireur exclu)</t>
  </si>
  <si>
    <t>CM|DM|CB|FB|AM</t>
  </si>
  <si>
    <t>feat_xgbuildup_p90</t>
  </si>
  <si>
    <t>z_xgbuildup_p90</t>
  </si>
  <si>
    <t>totalShots</t>
  </si>
  <si>
    <t>shots_p90</t>
  </si>
  <si>
    <t>Toute tentative délibérée de marquer, qu'elle soit cadrée, non-cadrée, bloquée ou sur le poteau. Exclut : les centres rentrants comptés comme but, les dégagements comptés comme tir.</t>
  </si>
  <si>
    <t>Frappe de 25m qui finit en tribunes = 1 tir. Tir bloqué par un défenseur = 1 tir (mais pas cadré)</t>
  </si>
  <si>
    <t>CF|W|AM</t>
  </si>
  <si>
    <t>feat_shots_p90</t>
  </si>
  <si>
    <t>z_shots_p90</t>
  </si>
  <si>
    <t>shotsFromInsideTheBox</t>
  </si>
  <si>
    <t>shots_inside_p90</t>
  </si>
  <si>
    <t>Tirs tentés depuis l'intérieur de la surface de réparation (18 yards). Sous-ensemble de totalShots mesurant la présence offensive dans la zone de vérité, indépendamment de la précision.</t>
  </si>
  <si>
    <t>Haaland contrôle dans la surface à 7m et frappe au but = 1 tir depuis l'intérieur de la surface</t>
  </si>
  <si>
    <t>feat_shots_inside_p90</t>
  </si>
  <si>
    <t>z_shots_inside_p90</t>
  </si>
  <si>
    <t>headedGoals</t>
  </si>
  <si>
    <t>headed_goals_p90</t>
  </si>
  <si>
    <t>Buts marqués de la tête — sous-ensemble de goals attribués à une touche de tête intentionnelle. Indicateur de domination aérienne offensive.</t>
  </si>
  <si>
    <t>Giroud détourne un corner de la tête en haut du filet = 1 headed goal</t>
  </si>
  <si>
    <t>CF|CD</t>
  </si>
  <si>
    <t>feat_headed_goals_p90</t>
  </si>
  <si>
    <t>z_headed_goals_p90</t>
  </si>
  <si>
    <t>_npxg_proxy_p90</t>
  </si>
  <si>
    <t>npxg_proxy_p90</t>
  </si>
  <si>
    <t>Proxy npxG calculé depuis les données Opta : xG total (expectedGoals) moins la contribution estimée des pénaltys (penaltiesTaken × 0.76). Clip à 0 pour éviter les valeurs négatives.</t>
  </si>
  <si>
    <t>Joueur avec expectedGoals=12.5 et penaltiesTaken=3 → npxg_proxy = 12.5 − 3×0.76 = 10.22</t>
  </si>
  <si>
    <t>feat_npxg_proxy_p90</t>
  </si>
  <si>
    <t>z_npxg_proxy_p90</t>
  </si>
  <si>
    <t>shotsOnTarget</t>
  </si>
  <si>
    <t>shots_ot_p90</t>
  </si>
  <si>
    <t>Tir cadré = tir qui serait rentré sans intervention du gardien ou du dernier défenseur. Inclut les buts. Exclut les tirs bloqués par un défenseur ordinaire (non dernier défenseur) et les tirs sur le poteau.</t>
  </si>
  <si>
    <t>Tir stoppé par le gardien = cadré. Tir bloqué par un défenseur en dehors de la ligne = non cadré. Tir sur le poteau = non cadré</t>
  </si>
  <si>
    <t>feat_shots_ot_p90</t>
  </si>
  <si>
    <t>z_shots_ot_p90</t>
  </si>
  <si>
    <t>goalConversionPercentage</t>
  </si>
  <si>
    <t>goal_conv_pct</t>
  </si>
  <si>
    <t>pct</t>
  </si>
  <si>
    <t>Buts divisés par tirs totaux tentés, exprimé en pourcentage. Mesure l'efficacité brute de finition. Ne tient pas compte de la qualité des occasions (contrairement à xG).</t>
  </si>
  <si>
    <t>10 buts sur 50 tirs = 20%. Valeur moyenne PL ≈ 10-12%</t>
  </si>
  <si>
    <t>feat_goal_conv_pct</t>
  </si>
  <si>
    <t>z_goal_conv_pct</t>
  </si>
  <si>
    <t>bigChancesMissed</t>
  </si>
  <si>
    <t>big_miss_p90</t>
  </si>
  <si>
    <t>Situation individuelle où le tireur devrait raisonnablement marquer mais ne le fait pas. Mêmes critères que bigChancesCreated — appliqués au tireur plutôt qu'au créateur.</t>
  </si>
  <si>
    <t>Haaland seul face au gardien à 5m tire au-dessus = 1 big chance missed</t>
  </si>
  <si>
    <t>CF|W</t>
  </si>
  <si>
    <t>True</t>
  </si>
  <si>
    <t>feat_big_miss_p90</t>
  </si>
  <si>
    <t>z_big_miss_p90</t>
  </si>
  <si>
    <t>assists</t>
  </si>
  <si>
    <t>ast_p90</t>
  </si>
  <si>
    <t>Dernière action (passe, déviation, ou toute autre touche) menant directement au but du receveur. Si la passe décisive est déviée par un adversaire, une 'fantasy assist' est comptée pour le rating mais pas dans les stats officielles.</t>
  </si>
  <si>
    <t>De Bruyne centre, Haaland marque de la tête = assist De Bruyne. Si un défenseur dévie le centre et Haaland marque = pas d'assist officiel</t>
  </si>
  <si>
    <t>W|AM|CM|CF|FB</t>
  </si>
  <si>
    <t>feat_ast_p90</t>
  </si>
  <si>
    <t>z_ast_p90</t>
  </si>
  <si>
    <t>passToAssist</t>
  </si>
  <si>
    <t>pass_to_assist_p90</t>
  </si>
  <si>
    <t>Avant-dernière passe dans une séquence aboutissant à un but — la passe qui mène à la passe décisive. Mesure la contribution créatrice en amont de la phase finale, invisible dans les stats assists.</t>
  </si>
  <si>
    <t>Kroos joue à Modric, Modric passe à Benzema qui marque → assist pour Modric, passToAssist pour Kroos</t>
  </si>
  <si>
    <t>CM|AM|W</t>
  </si>
  <si>
    <t>feat_pass_to_assist_p90</t>
  </si>
  <si>
    <t>z_pass_to_assist_p90</t>
  </si>
  <si>
    <t>accurateFinalThirdPasses</t>
  </si>
  <si>
    <t>passes_f3_p90</t>
  </si>
  <si>
    <t>Passes dont le point d'arrivée se situe dans le dernier tiers du terrain (33m finaux). Mesure la capacité à faire progresser le jeu vers l'avant. Ne requiert pas que la passe soit une passe clé.</t>
  </si>
  <si>
    <t>Busquets joue une passe depuis son propre camp vers Pedri dans le dernier tiers = 1 passToFinalThird</t>
  </si>
  <si>
    <t>CM|DM|CB|AM</t>
  </si>
  <si>
    <t>feat_passes_f3_p90</t>
  </si>
  <si>
    <t>z_passes_f3_p90</t>
  </si>
  <si>
    <t>expectedAssists</t>
  </si>
  <si>
    <t>xa_p90</t>
  </si>
  <si>
    <t>xG de l'occasion créée par la passe, calculé au moment où le receveur tire. Mesure la qualité des passes menant à un tir, quel que soit le résultat du tir. Une passe vers un xG=0.5 vaut xA=0.5 même si le tir est raté.</t>
  </si>
  <si>
    <t>Passe dans la surface pour tir à bout portant (xG=0.45) = xA=0.45 pour le passeur. Passe vers une frappe lointaine (xG=0.03) = xA=0.03</t>
  </si>
  <si>
    <t>feat_xa_p90</t>
  </si>
  <si>
    <t>z_xa_p90</t>
  </si>
  <si>
    <t>xA_us</t>
  </si>
  <si>
    <t>xa_us_p90</t>
  </si>
  <si>
    <t>xA calculé par Understat — probabilité de but générée par les passes du joueur, sur la base des tirs qui ont suivi. Méthodologie légèrement différente de l'xA Opta : Understat exclut les assistances sur pénaltys.</t>
  </si>
  <si>
    <t>De Bruyne joue 3 passes menant à des tirs (xG=0.35, 0.12, 0.08) → xA_us = 0.55 pour ce match</t>
  </si>
  <si>
    <t>feat_xa_us_p90</t>
  </si>
  <si>
    <t>z_xa_us_p90</t>
  </si>
  <si>
    <t>keyPasses</t>
  </si>
  <si>
    <t>key_passes_p90</t>
  </si>
  <si>
    <t>Passe menant directement à une tentative de but de l'équipe, sans être une passe décisive officielle (le tir ne se transforme pas en but). Critère : la passe doit être la dernière avant le tir.</t>
  </si>
  <si>
    <t>Ødegaard joue une passe à Saka qui tire, gardien arrête = 1 key pass pour Ødegaard. Si Saka marque = assist, pas key pass</t>
  </si>
  <si>
    <t>AM|CM|W|CF|FB</t>
  </si>
  <si>
    <t>feat_key_passes_p90</t>
  </si>
  <si>
    <t>z_key_passes_p90</t>
  </si>
  <si>
    <t>bigChancesCreated</t>
  </si>
  <si>
    <t>big_chances_p90</t>
  </si>
  <si>
    <t>Passes ou actions menant à une situation où le receveur devrait raisonnablement être attendu à marquer. Inclut les pénaltys obtenus suite à une passe. Critère : face-à-face, tir à bout portant depuis la zone de vérité (&lt; 6m), ou un-contre-un latéral.</t>
  </si>
  <si>
    <t>De Bruyne joue une passe dans le dos de la défense pour Haaland seul face au gardien = 1 big chance created</t>
  </si>
  <si>
    <t>AM|CM|W|FB</t>
  </si>
  <si>
    <t>feat_big_chances_p90</t>
  </si>
  <si>
    <t>z_big_chances_p90</t>
  </si>
  <si>
    <t>throughBalls</t>
  </si>
  <si>
    <t>through_balls_p90</t>
  </si>
  <si>
    <t>Passes en profondeur tentées — ballon joué dans l'espace derrière la ligne défensive adverse pour un coéquipier en mouvement. Comptées réussies ou non.</t>
  </si>
  <si>
    <t>De Bruyne joue un ballon millimétré dans le dos de la défense pour Haaland = 1 through ball (réussie si Haaland contrôle)</t>
  </si>
  <si>
    <t>AM|CM|DM</t>
  </si>
  <si>
    <t>feat_through_balls_p90</t>
  </si>
  <si>
    <t>z_through_balls_p90</t>
  </si>
  <si>
    <t>passesToFinalThird</t>
  </si>
  <si>
    <t>passesIntoBox</t>
  </si>
  <si>
    <t>passes_box_p90</t>
  </si>
  <si>
    <t>Passes dont le point d'arrivée se situe à l'intérieur de la surface de réparation adverse (18 yards). Mesure la capacité à trouver un coéquipier dans la zone de finition.</t>
  </si>
  <si>
    <t>Cancelo joue un ballon tendu dans la surface pour Bernardo Silva = 1 passIntoBox</t>
  </si>
  <si>
    <t>feat_passes_box_p90</t>
  </si>
  <si>
    <t>z_passes_box_p90</t>
  </si>
  <si>
    <t>accuratePasses</t>
  </si>
  <si>
    <t>acc_passes_p90</t>
  </si>
  <si>
    <t>Nombre absolu de passes réussies sur la saison — passe qu'un coéquipier contrôle. Converti en per-90 pour la comparaison inter-joueurs. Exclut les corners, remises en jeu et dégagements gardien.</t>
  </si>
  <si>
    <t>Kroos : 85 passes réussies en 90min = 85 acc_passes pour ce match. Moyenne DM = 60-80 per-90</t>
  </si>
  <si>
    <t>feat_acc_passes_p90</t>
  </si>
  <si>
    <t>z_acc_passes_p90</t>
  </si>
  <si>
    <t>accuratePassesPercentage</t>
  </si>
  <si>
    <t>pass_acc_pct</t>
  </si>
  <si>
    <t>Passes réussies divisées par passes tentées. Une passe est réussie si un coéquipier la contrôle. Exclut les corners, remises en jeu, dégagements du gardien et centres (comptés séparément).</t>
  </si>
  <si>
    <t>Kroos : 85 passes réussies / 90 tentées = 94.4%. Moyenne DM Premier League ≈ 82%</t>
  </si>
  <si>
    <t>CM|DM|CB|FB|AM|GK</t>
  </si>
  <si>
    <t>feat_pass_acc_pct</t>
  </si>
  <si>
    <t>z_pass_acc_pct</t>
  </si>
  <si>
    <t>accurateLongBalls</t>
  </si>
  <si>
    <t>long_balls_p90</t>
  </si>
  <si>
    <t>Passes longues réussies — ballon joué en hauteur sur une distance significative (généralement &gt;32m) récupéré par un coéquipier. Comptées en absolu per-90.</t>
  </si>
  <si>
    <t>Rúben Dias joue 8 longues passes dont 6 arrivent à un coéquipier = 6 long balls réussies</t>
  </si>
  <si>
    <t>CB|DM|GK|CM</t>
  </si>
  <si>
    <t>feat_long_balls_p90</t>
  </si>
  <si>
    <t>z_long_balls_p90</t>
  </si>
  <si>
    <t>accurateLongBallsPercentage</t>
  </si>
  <si>
    <t>long_balls_pct</t>
  </si>
  <si>
    <t>Passes longues réussies sur passes longues tentées. Une passe longue est définie par Opta comme un ballon joué en hauteur sur une distance significative (généralement &gt;32m). Indicateur clé des CBs relanceurs et gardiens modernes.</t>
  </si>
  <si>
    <t>Rúben Dias joue 8 longues passes, 6 arrivent à un coéquipier = 75% long balls</t>
  </si>
  <si>
    <t>feat_long_balls_pct</t>
  </si>
  <si>
    <t>z_long_balls_pct</t>
  </si>
  <si>
    <t>accurateCrosses</t>
  </si>
  <si>
    <t>crosses_p90</t>
  </si>
  <si>
    <t>Centres réussis — ballons intentionnels joués depuis une position latérale vers la zone devant le but, récupérés par un coéquipier. Comptés en absolu per-90.</t>
  </si>
  <si>
    <t>Trent croise 10 fois, 3 trouvent un coéquipier = 3 crosses réussies</t>
  </si>
  <si>
    <t>FB|W|CM</t>
  </si>
  <si>
    <t>feat_crosses_p90</t>
  </si>
  <si>
    <t>z_crosses_p90</t>
  </si>
  <si>
    <t>accurateCrossesPercentage</t>
  </si>
  <si>
    <t>crosses_pct</t>
  </si>
  <si>
    <t>Centres réussis sur centres tentés. Un centre est défini comme tout ballon intentionnel joué depuis une position latérale vers la zone devant le but. Réussi = contrôlé par un coéquipier.</t>
  </si>
  <si>
    <t>Trent croise 10 fois, 3 trouvent un coéquipier = 30%. Valeur moyenne latéral PL ≈ 20-25%</t>
  </si>
  <si>
    <t>feat_crosses_pct</t>
  </si>
  <si>
    <t>z_crosses_pct</t>
  </si>
  <si>
    <t>totalCrosses</t>
  </si>
  <si>
    <t>total_crosses_p90</t>
  </si>
  <si>
    <t>Centres totaux tentés, réussis ou non. Mesure le volume de débordements et de jeu dans la largeur, indépendamment de la précision.</t>
  </si>
  <si>
    <t>Sané effectue 8 centres dans le match dont 2 réussis = 8 totalCrosses</t>
  </si>
  <si>
    <t>FB|W</t>
  </si>
  <si>
    <t>feat_total_crosses_p90</t>
  </si>
  <si>
    <t>z_total_crosses_p90</t>
  </si>
  <si>
    <t>touches</t>
  </si>
  <si>
    <t>touches_p90</t>
  </si>
  <si>
    <t>Somme de tous les événements où le joueur touche le ballon — passe, tir, contrôle, dégagement, etc. Si un joueur contrôle puis passe, c'est 1 touche (l'action complète), pas 2.</t>
  </si>
  <si>
    <t>Iniesta reçoit, contrôle et passe en une action fluide = 1 touch. Un défenseur qui dévie involontairement un tir = 1 touch</t>
  </si>
  <si>
    <t>CF|CM|DM|AM|W</t>
  </si>
  <si>
    <t>feat_touches_p90</t>
  </si>
  <si>
    <t>z_touches_p90</t>
  </si>
  <si>
    <t>touchesInBox</t>
  </si>
  <si>
    <t>touches_box_p90</t>
  </si>
  <si>
    <t>Sous-ensemble de touches : uniquement les touches effectuées à l'intérieur de la surface de réparation adverse. Mesure la présence offensive dans la zone de vérité.</t>
  </si>
  <si>
    <t>Giroud reçoit une remise, contrôle et tire dans la surface = 2 touches in box (contrôle + tir)</t>
  </si>
  <si>
    <t>feat_touches_box_p90</t>
  </si>
  <si>
    <t>z_touches_box_p90</t>
  </si>
  <si>
    <t>successfulDribbles</t>
  </si>
  <si>
    <t>dribbles_p90</t>
  </si>
  <si>
    <t>Dribbles réussis — tentatives où le joueur bat l'adversaire en conservant la possession. Échoué si le dribbleur est taclé ou si le ballon s'éloigne trop (overrun).</t>
  </si>
  <si>
    <t>Neymar tente 8 dribbles, en réussit 6 = 6 successfulDribbles</t>
  </si>
  <si>
    <t>W|CF|AM|CM</t>
  </si>
  <si>
    <t>feat_dribbles_p90</t>
  </si>
  <si>
    <t>z_dribbles_p90</t>
  </si>
  <si>
    <t>successfulDribblesPercentage</t>
  </si>
  <si>
    <t>dribble_pct</t>
  </si>
  <si>
    <t>Dribbles réussis sur dribbles tentés. Un dribble est réussi si le joueur bat l'adversaire en conservant la possession. Échoué si le dribbleur est taclé ou si le ballon s'éloigne trop (overrun).</t>
  </si>
  <si>
    <t>Neymar tente 8 dribbles, en réussit 6 = 75%. Valeur top ailier PL ≈ 55-65%</t>
  </si>
  <si>
    <t>W|CF|AM</t>
  </si>
  <si>
    <t>feat_dribble_pct</t>
  </si>
  <si>
    <t>z_dribble_pct</t>
  </si>
  <si>
    <t>attemptedDribbles</t>
  </si>
  <si>
    <t>dribbles_att_p90</t>
  </si>
  <si>
    <t>Dribbles tentés — total des duels de dribble disputés, réussis ou non. Mesure le volume d'initiatives balle au pied, indépendamment de l'efficacité.</t>
  </si>
  <si>
    <t>Mbappé tente 6 dribbles dans un match = 6 attempted dribbles (qu'il en réussisse 4 ou 6)</t>
  </si>
  <si>
    <t>feat_dribbles_att_p90</t>
  </si>
  <si>
    <t>z_dribbles_att_p90</t>
  </si>
  <si>
    <t>dispossessed</t>
  </si>
  <si>
    <t>dispossessed_p90</t>
  </si>
  <si>
    <t>Sous-ensemble de possessionLost : uniquement les pertes de balle causées par un tacle adverse réussi sur le joueur en possession. Exclut les mauvaises passes et mauvais contrôles.</t>
  </si>
  <si>
    <t>Vinicius conduit, un défenseur le tacklé proprement et récupère le ballon = 1 dispossessed. Mauvaise passe de Vinicius = possessionLost mais pas dispossessed</t>
  </si>
  <si>
    <t>feat_dispossessed_p90</t>
  </si>
  <si>
    <t>z_dispossessed_p90</t>
  </si>
  <si>
    <t>possessionLost</t>
  </si>
  <si>
    <t>poss_lost_p90</t>
  </si>
  <si>
    <t>Nombre de fois où le joueur perd la possession — tacle adverse réussi sur lui, mauvais contrôle, passe ratée dans les pieds adverses, interception subie. Comptabilisé uniquement quand la possession change d'équipe suite à l'action du joueur.</t>
  </si>
  <si>
    <t>Griezmann reçoit, adverse le tacklé et récupère le ballon = 1 possession lost pour Griezmann</t>
  </si>
  <si>
    <t>CF|W|CM|DM|CB</t>
  </si>
  <si>
    <t>feat_poss_lost_p90</t>
  </si>
  <si>
    <t>z_poss_lost_p90</t>
  </si>
  <si>
    <t>possessionWonAttThird</t>
  </si>
  <si>
    <t>poss_won_att3_p90</t>
  </si>
  <si>
    <t>Ballons récupérés dans le tiers offensif adverse — résultat d'un pressing haut réussi ou d'une interception dans la zone ennemie. Indicateur d'intensité et d'efficacité du pressing offensif.</t>
  </si>
  <si>
    <t>Firmino presse le défenseur adverse dans son couloir défensif, provoque une mauvaise passe et récupère = 1 possession won att third</t>
  </si>
  <si>
    <t>CF|W|AM|CM</t>
  </si>
  <si>
    <t>feat_poss_won_att3_p90</t>
  </si>
  <si>
    <t>z_poss_won_att3_p90</t>
  </si>
  <si>
    <t>wasFouled</t>
  </si>
  <si>
    <t>fouls_drawn_p90</t>
  </si>
  <si>
    <t>Fautes obtenues par le joueur — toute infraction sifflée par l'arbitre suite à un contact sur le joueur en possession ou cherchant à récupérer le ballon. Comptée indépendamment du carton éventuel.</t>
  </si>
  <si>
    <t>Salah percute un défenseur qui le fauche = 1 foul drawn pour Salah. Si l'arbitre siffle = 1 foul drawn, que ce soit carton ou non</t>
  </si>
  <si>
    <t>feat_fouls_drawn_p90</t>
  </si>
  <si>
    <t>z_fouls_drawn_p90</t>
  </si>
  <si>
    <t>ballRecovery</t>
  </si>
  <si>
    <t>ball_recovery_p90</t>
  </si>
  <si>
    <t>Récupération de balle — action où le joueur obtient la possession sur un ballon libre ou dévié, sans que ce soit un tacle direct sur porteur ni une interception anticipée. Inclut les segundas pelotas.</t>
  </si>
  <si>
    <t>Kanté se retrouve sur un rebond d'un tir adverse et récupère le ballon = 1 ball recovery</t>
  </si>
  <si>
    <t>DM|CM|CD|FB</t>
  </si>
  <si>
    <t>feat_ball_recovery_p90</t>
  </si>
  <si>
    <t>z_ball_recovery_p90</t>
  </si>
  <si>
    <t>totalContest</t>
  </si>
  <si>
    <t>Duels de dribble disputés (totalContest = total des contests dribble). Équivalent d'attemptedDribbles dans la nomenclature SofaScore. Mesure le volume d'initiatives balle au pied.</t>
  </si>
  <si>
    <t>Mbappé tente 6 dribbles dans un match = 6 totalContest (réussis ou non)</t>
  </si>
  <si>
    <t>dribbledPast</t>
  </si>
  <si>
    <t>dribbled_past_p90</t>
  </si>
  <si>
    <t>Nombre de fois où un adversaire réussit un dribble sur ce joueur. Feature défensive à inverser : moins le joueur se fait dribbler, mieux c'est. Indicateur de solidité défensive individuelle au sol.</t>
  </si>
  <si>
    <t>Salah élimine le latéral adverse qui ne peut que le faucher = 1 dribbled past pour le défenseur</t>
  </si>
  <si>
    <t>CD|FB</t>
  </si>
  <si>
    <t>feat_dribbled_past_p90</t>
  </si>
  <si>
    <t>z_dribbled_past_p90</t>
  </si>
  <si>
    <t>penaltyWon</t>
  </si>
  <si>
    <t>penalty_won_p90</t>
  </si>
  <si>
    <t>Pénalty accordé au joueur suite à une faute commise sur lui dans la surface adverse. Attribué au joueur fauté, pas au tireur si différent.</t>
  </si>
  <si>
    <t>Salah élimine un défenseur en surface, le défenseur le fauche → pénalty accordé à Salah</t>
  </si>
  <si>
    <t>feat_penalty_won_p90</t>
  </si>
  <si>
    <t>z_penalty_won_p90</t>
  </si>
  <si>
    <t>badTouches</t>
  </si>
  <si>
    <t>bad_touches_p90</t>
  </si>
  <si>
    <t>Contrôle(s) manqué(s) — touche de balle mal maîtrisée conduisant à une perte de possession directe ou quasi-directe. Indicateur négatif de qualité technique sous pression. Feature à inverser.</t>
  </si>
  <si>
    <t>Benzema reçoit un ballon dans la surface mais le contrôle lui échappe vers le défenseur = 1 bad touch</t>
  </si>
  <si>
    <t>feat_bad_touches_p90</t>
  </si>
  <si>
    <t>z_bad_touches_p90</t>
  </si>
  <si>
    <t>progressiveCarries</t>
  </si>
  <si>
    <t>prog_carries_p90</t>
  </si>
  <si>
    <t>Conduite de balle d'au moins 5m vers l'avant (en direction du but adverse). Mesure la capacité à faire progresser l'équipe par la course avec le ballon.</t>
  </si>
  <si>
    <t>Vinícius reçoit à 40m, conduit jusqu'à 30m en ligne droite = 1 progressive carry (10m vers l'avant)</t>
  </si>
  <si>
    <t>W|CM|FB|CF</t>
  </si>
  <si>
    <t>feat_prog_carries_p90</t>
  </si>
  <si>
    <t>z_prog_carries_p90</t>
  </si>
  <si>
    <t>distanceCovered</t>
  </si>
  <si>
    <t>distance_p90</t>
  </si>
  <si>
    <t>Distance totale parcourue par le joueur pendant le match, toutes phases confondues (avec et sans ballon). Donnée de tracking GPS/optique. Exprimée en km.</t>
  </si>
  <si>
    <t>Casemiro Real Madrid : ~11.5km/match. Haaland : ~9.5km/match (attaquant). Kante à Chelsea : ~12.5km/match</t>
  </si>
  <si>
    <t>CM|DM|W|FB</t>
  </si>
  <si>
    <t>feat_distance_p90</t>
  </si>
  <si>
    <t>z_distance_p90</t>
  </si>
  <si>
    <t>foulsDrawn</t>
  </si>
  <si>
    <t>fouls</t>
  </si>
  <si>
    <t>fouls_p90</t>
  </si>
  <si>
    <t>Fautes commises — infractions sifflées suite à un contact irrégulier du joueur sur un adversaire. Comptée indépendamment du carton éventuel. Feature à inverser : moins = mieux.</t>
  </si>
  <si>
    <t>Tchouaméni tacklé irrégulièrement un adversaire, arbitre siffle = 1 foul. Valeur typique DM ≈ 2-3/match</t>
  </si>
  <si>
    <t>DM|CB|CM</t>
  </si>
  <si>
    <t>feat_fouls_p90</t>
  </si>
  <si>
    <t>z_fouls_p90</t>
  </si>
  <si>
    <t>penaltyConceded</t>
  </si>
  <si>
    <t>penalty_conc_p90</t>
  </si>
  <si>
    <t>Pénalty concédé — faute commise par ce joueur dans sa propre surface de réparation, entraînant un pénalty pour l'adversaire. Feature à inverser : moins = mieux.</t>
  </si>
  <si>
    <t>Pavard fauche Mbappé dans la surface = 1 penalty conceded pour Pavard</t>
  </si>
  <si>
    <t>feat_penalty_conc_p90</t>
  </si>
  <si>
    <t>z_penalty_conc_p90</t>
  </si>
  <si>
    <t>outfielderBlocks</t>
  </si>
  <si>
    <t>outfielder_blocks_p90</t>
  </si>
  <si>
    <t>Bloc ou dégagement d'urgence d'un joueur de champ — intervention défensive où le joueur se sacrifie pour couper un tir ou une passe dangereuse dans la surface. Différent de blockedShots (moins strict sur la direction).</t>
  </si>
  <si>
    <t>Saliba plonge devant une frappe dans la surface et la dévie en corner = 1 outfielder block</t>
  </si>
  <si>
    <t>CD|DM</t>
  </si>
  <si>
    <t>feat_outfielder_blocks_p90</t>
  </si>
  <si>
    <t>z_outfielder_blocks_p90</t>
  </si>
  <si>
    <t>duelLost</t>
  </si>
  <si>
    <t>duel_lost_p90</t>
  </si>
  <si>
    <t>Duels perdus — contests 1v1 aériens ou au sol où l'adversaire remporte la possession. Pour chaque duel perdu d'un joueur, il y a un duel gagné côté adverse. Feature à inverser.</t>
  </si>
  <si>
    <t>Tchouaméni perd un duel au sol face à De Bruyne = 1 duel lost. Valeur typique DM ≈ 3-5/match</t>
  </si>
  <si>
    <t>CD|DM|CM|CF</t>
  </si>
  <si>
    <t>feat_duel_lost_p90</t>
  </si>
  <si>
    <t>z_duel_lost_p90</t>
  </si>
  <si>
    <t>errorLeadToGoal</t>
  </si>
  <si>
    <t>errors_goal_p90</t>
  </si>
  <si>
    <t>Erreur individuelle d'un joueur menant DIRECTEMENT à un but encaissé. L'erreur doit être la cause directe sans phase de jeu intermédiaire. Très rare — 0 à 2 occurrences par saison pour la plupart des joueurs.</t>
  </si>
  <si>
    <t>Maguire perd le ballon dans sa propre surface, l'adversaire marque immédiatement = 1 errorLeadToGoal. Feature à inverser</t>
  </si>
  <si>
    <t>CD|GK|FB</t>
  </si>
  <si>
    <t>feat_errors_goal_p90</t>
  </si>
  <si>
    <t>z_errors_goal_p90</t>
  </si>
  <si>
    <t>errorLeadToShot</t>
  </si>
  <si>
    <t>errors_shot_p90</t>
  </si>
  <si>
    <t>Erreur menant DIRECTEMENT à un tir adverse, but ou non. Sur-ensemble de errorLeadToGoal — chaque errorLeadToGoal est aussi un errorLeadToShot mais pas l'inverse. Légèrement plus fréquent (2-6/saison).</t>
  </si>
  <si>
    <t>Stones glisse et offre le ballon à Salah qui tire (gardien arrête) = 1 errorLeadToShot mais pas errorLeadToGoal</t>
  </si>
  <si>
    <t>feat_errors_shot_p90</t>
  </si>
  <si>
    <t>z_errors_shot_p90</t>
  </si>
  <si>
    <t>totalCross</t>
  </si>
  <si>
    <t>Centres totaux tentés, réussis ou non. Colonne source alternative (totalCross vs totalCrosses) selon la version de l'API SofaScore.</t>
  </si>
  <si>
    <t>Sané effectue 8 centres dans le match dont 2 réussis = 8 totalCross</t>
  </si>
  <si>
    <t>tackles</t>
  </si>
  <si>
    <t>tackles_p90</t>
  </si>
  <si>
    <t>Tacle réussi = le joueur entre en contact avec le ballon dans un duel au sol et récupère la possession ou dégage le ballon. Le joueur taclé doit clairement être en possession. Couper une passe n'est PAS un tacle (c'est une interception).</t>
  </si>
  <si>
    <t>Kanté glisse et rafle le ballon sous le pied de Pogba qui avait le contrôle = 1 tackle. Kanté intercepte une passe = interception, pas tackle</t>
  </si>
  <si>
    <t>DM|CB|CM|FB</t>
  </si>
  <si>
    <t>feat_tackles_p90</t>
  </si>
  <si>
    <t>z_tackles_p90</t>
  </si>
  <si>
    <t>tacklesWon</t>
  </si>
  <si>
    <t>tackles_won_p90</t>
  </si>
  <si>
    <t>Sous-ensemble des tacles : tacles remportés où le joueur récupère proprement la possession après le tacle (pas seulement dégagé). Indicateur de qualité défensive au sol.</t>
  </si>
  <si>
    <t>Kanté tacklé Pogba et repart avec le ballon = 1 tackle won. Kanté dévie le ballon en touche = tacle mais pas won</t>
  </si>
  <si>
    <t>feat_tackles_won_p90</t>
  </si>
  <si>
    <t>z_tackles_won_p90</t>
  </si>
  <si>
    <t>_tackle_success_pct</t>
  </si>
  <si>
    <t>tackle_success_pct</t>
  </si>
  <si>
    <t>% tacles réussis = tacklesWon / tackles × 100. Mesure l'efficacité défensive au sol. Distingue le défenseur engagé précis (haut %) du défenseur brouillon qui tacle beaucoup mais perd souvent.</t>
  </si>
  <si>
    <t>Fabinho : 8 tacles, 6 remportés = 75% tackle success. Valeur top DM PL ≈ 65-75%</t>
  </si>
  <si>
    <t>feat_tackle_success_pct</t>
  </si>
  <si>
    <t>z_tackle_success_pct</t>
  </si>
  <si>
    <t>interceptions</t>
  </si>
  <si>
    <t>interceptions_p90</t>
  </si>
  <si>
    <t>Le joueur lit la passe adverse et se déplace dans la trajectoire du ballon pour l'intercepter. Geste ANTICIPATIF — le joueur doit se déplacer vers la ligne de passe avant que le ballon arrive. Différent du tacle (réactif sur porteur) et de la récupération (ballon libre).</t>
  </si>
  <si>
    <t>Fabinho lit une passe horizontale, se décale et intercepte le ballon dans sa course = 1 interception. Fabinho récupère un rebond qui traîne = ball recovery, pas interception</t>
  </si>
  <si>
    <t>feat_interceptions_p90</t>
  </si>
  <si>
    <t>z_interceptions_p90</t>
  </si>
  <si>
    <t>clearances</t>
  </si>
  <si>
    <t>clearances_p90</t>
  </si>
  <si>
    <t>Dégagement = action d'un joueur qui éloigne le ballon d'une zone dangereuse SANS cible précise — il n'essaie pas de passer à un coéquipier, juste de dégager le danger. Si une cible est identifiée, c'est une passe.</t>
  </si>
  <si>
    <t>Stones dégage un centre tendu de la tête dans les tribunes = 1 clearance. Stones contrôle le même centre et passe à Ederson = passe, pas clearance</t>
  </si>
  <si>
    <t>CB|FB|DM</t>
  </si>
  <si>
    <t>feat_clearances_p90</t>
  </si>
  <si>
    <t>z_clearances_p90</t>
  </si>
  <si>
    <t>headedClearances</t>
  </si>
  <si>
    <t>headed_clear_p90</t>
  </si>
  <si>
    <t>Sous-ensemble des clearances : dégagements effectués de la tête uniquement. Indicateur de domination aérienne défensive dans la surface propre.</t>
  </si>
  <si>
    <t>Dias dégage un corner adverse de la tête = 1 headed clearance</t>
  </si>
  <si>
    <t>CB|GK</t>
  </si>
  <si>
    <t>feat_headed_clear_p90</t>
  </si>
  <si>
    <t>z_headed_clear_p90</t>
  </si>
  <si>
    <t>blockedShots</t>
  </si>
  <si>
    <t>blocked_shots_p90</t>
  </si>
  <si>
    <t>Joueur de champ qui bloque une tentative de but adverse. Condition stricte Opta : le tir doit être dirigé vers le but (aurait été cadré ou but sans le bloc). Si le tir allait de toute façon à côté, aucun bloc n'est comptabilisé.</t>
  </si>
  <si>
    <t>Van Dijk se jette devant la frappe de Salah adverse qui allait en haut du poteau = 1 blocked shot. Van Dijk dévie un tir qui allait largement à côté = 0 blocked shot</t>
  </si>
  <si>
    <t>CB|DM|CM</t>
  </si>
  <si>
    <t>feat_blocked_shots_p90</t>
  </si>
  <si>
    <t>z_blocked_shots_p90</t>
  </si>
  <si>
    <t>errorsLeadingToGoal</t>
  </si>
  <si>
    <t>Maguire perd le ballon dans sa propre surface, l'adversaire marque immédiatement = 1 errorLeadingToGoal</t>
  </si>
  <si>
    <t>CB|GK|FB</t>
  </si>
  <si>
    <t>errorsLeadingToShot</t>
  </si>
  <si>
    <t>Erreur menant DIRECTEMENT à un tir adverse, but ou non. Sur-ensemble de errorsLeadingToGoal — chaque erreur menant à un but est aussi un errorLeadingToShot mais pas l'inverse. Légèrement plus fréquent (2-6/saison).</t>
  </si>
  <si>
    <t>Stones glisse et offre le ballon à Salah qui tire (gardien arrête) = 1 errorsLeadingToShot mais pas errorsLeadingToGoal</t>
  </si>
  <si>
    <t>_duels_won_p90</t>
  </si>
  <si>
    <t>duels_won_p90</t>
  </si>
  <si>
    <t>Duels gagnés par 90min — somme des duels au sol et aériens gagnés (groundDuelsWon + aerialDuelsWon), converti en per-90. Indicateur global de présence physique dans les duels.</t>
  </si>
  <si>
    <t>Tchouaméni : 4 duels sol gagnés + 2 duels aériens gagnés = 6 duels_won pour ce match</t>
  </si>
  <si>
    <t>CB|DM|CM|CF</t>
  </si>
  <si>
    <t>feat_duels_won_p90</t>
  </si>
  <si>
    <t>z_duels_won_p90</t>
  </si>
  <si>
    <t>_duels_won_pct</t>
  </si>
  <si>
    <t>duels_won_pct</t>
  </si>
  <si>
    <t>% duels gagnés (tous types) — proxy calculé comme (groundDuelsWonPercentage + aerialDuelsWonPercentage) / 2. Indicateur global d'efficacité dans les duels 1v1.</t>
  </si>
  <si>
    <t>Tchouaméni : 67% duels sol + 58% duels aériens = 62.5% duels_won_pct</t>
  </si>
  <si>
    <t>CB|DM|CM|CF|FB</t>
  </si>
  <si>
    <t>feat_duels_won_pct</t>
  </si>
  <si>
    <t>z_duels_won_pct</t>
  </si>
  <si>
    <t>groundDuelsWon</t>
  </si>
  <si>
    <t>ground_duels_p90</t>
  </si>
  <si>
    <t>Duels au sol gagnés — contests 50/50 sur le sol où le joueur récupère la possession. Comptés séparément des duels aériens. Indicateur de solidité physique au sol.</t>
  </si>
  <si>
    <t>Tchouaméni glisse dans un tacle et récupère le ballon face à De Bruyne = 1 ground duel won</t>
  </si>
  <si>
    <t>DM|CM|CB|CF</t>
  </si>
  <si>
    <t>feat_ground_duels_p90</t>
  </si>
  <si>
    <t>z_ground_duels_p90</t>
  </si>
  <si>
    <t>groundDuelsWonPercentage</t>
  </si>
  <si>
    <t>ground_duels_pct</t>
  </si>
  <si>
    <t>% duels au sol gagnés sur duels au sol disputés. Un duel est défini comme un contest 50/50 entre deux joueurs adverses. Indicateur de solidité au sol dans les duels 1v1.</t>
  </si>
  <si>
    <t>Tchouaméni : 6 duels sol gagnés / 9 disputés = 67%. Moyenne milieu défensif PL ≈ 55-60%</t>
  </si>
  <si>
    <t>feat_ground_duels_pct</t>
  </si>
  <si>
    <t>z_ground_duels_pct</t>
  </si>
  <si>
    <t>aerialDuelsWon</t>
  </si>
  <si>
    <t>aerial_duels_p90</t>
  </si>
  <si>
    <t>Duels aériens gagnés — challenges en l'air pour des centres, dégagements ou balles longues. Indicateur de domination physique aérienne. Comptés séparément des duels au sol.</t>
  </si>
  <si>
    <t>Giroud saute plus haut que le défenseur et capte un corner de la tête = 1 aerial duel won</t>
  </si>
  <si>
    <t>CB|CF|DM</t>
  </si>
  <si>
    <t>feat_aerial_duels_p90</t>
  </si>
  <si>
    <t>z_aerial_duels_p90</t>
  </si>
  <si>
    <t>aerialDuelsWonPercentage</t>
  </si>
  <si>
    <t>aerial_duels_pct</t>
  </si>
  <si>
    <t>Duels aériens gagnés sur duels aériens disputés. Un duel aérien nécessite 2+ joueurs qui challengent pour le même ballon en l'air. Gagné = le joueur obtient le premier contact contrôlé. Si fauté pendant le duel aérien, le joueur fauté gagne le duel.</t>
  </si>
  <si>
    <t>Giroud vs un défenseur sur corner : tous deux sautent, Giroud capte le ballon de la tête = Giroud gagne le duel aérien. Si le défenseur le fauche en sautant = Giroud gagne le duel (fauté)</t>
  </si>
  <si>
    <t>CB|CF|DM|FB</t>
  </si>
  <si>
    <t>feat_aerial_duels_pct</t>
  </si>
  <si>
    <t>z_aerial_duels_pct</t>
  </si>
  <si>
    <t>foulsCommitted</t>
  </si>
  <si>
    <t>Fautes commises — infractions sifflées suite à un contact irrégulier du joueur sur un adversaire. Ancienne nomenclature Opta (= fouls dans les données actuelles). Feature à inverser.</t>
  </si>
  <si>
    <t>Tchouaméni tacklé irrégulièrement = 1 foulsCommitted. Valeur typique DM ≈ 2-3/match</t>
  </si>
  <si>
    <t>offsides</t>
  </si>
  <si>
    <t>offsides_p90</t>
  </si>
  <si>
    <t>Hors-jeux signalés contre le joueur — position en avance sur le dernier défenseur au moment où le ballon est joué vers lui. Signal indirect de courses en profondeur dans le dos de la défense.</t>
  </si>
  <si>
    <t>Mbappé part dans le dos d'une défense, le assistant lève le drapeau = 1 offside. 8-10 hors-jeux/saison = joueur qui cherche la profondeur</t>
  </si>
  <si>
    <t>feat_offsides_p90</t>
  </si>
  <si>
    <t>z_offsides_p90</t>
  </si>
  <si>
    <t>saves</t>
  </si>
  <si>
    <t>saves_p90</t>
  </si>
  <si>
    <t>Arrêts réalisés — tirs cadrés adverses stoppés par le gardien. Comptés uniquement sur les tirs qui auraient constitué un but sans l'intervention. Corrélé au volume de tirs adverses reçus.</t>
  </si>
  <si>
    <t>Alisson arrête un tir de Salah au premier poteau = 1 save. Alisson dévie un tir qui allait à côté = 0 save (pas cadré)</t>
  </si>
  <si>
    <t>GK</t>
  </si>
  <si>
    <t>feat_saves_p90</t>
  </si>
  <si>
    <t>z_saves_p90</t>
  </si>
  <si>
    <t>cleanSheet</t>
  </si>
  <si>
    <t>clean_sheets_p90</t>
  </si>
  <si>
    <t>Match sans but encaissé — gardien ayant tenu sa cage à zéro pour la totalité du match joué. Per-90 utilisé comme proportion de matchs à zéro. Corrélé à la qualité défensive collective.</t>
  </si>
  <si>
    <t>Ederson joue 90min sans encaisser = 1 cleanSheet. Ederson sort à la 80e (0-0), remplaçant encaisse = pas de cleanSheet</t>
  </si>
  <si>
    <t>feat_clean_sheets_p90</t>
  </si>
  <si>
    <t>z_clean_sheets_p90</t>
  </si>
  <si>
    <t>savedShotsFromInsideTheBox</t>
  </si>
  <si>
    <t>saves_inside_p90</t>
  </si>
  <si>
    <t>Arrêts sur tirs depuis l'intérieur de la surface de réparation — sous-ensemble des saves sur les tirs les plus dangereux (zone de vérité). Indicateur du niveau de difficulté des arrêts réalisés.</t>
  </si>
  <si>
    <t>Alisson arrête une frappe à bout portant de Haaland à 6m = 1 savedShotFromInsideTheBox</t>
  </si>
  <si>
    <t>feat_saves_inside_p90</t>
  </si>
  <si>
    <t>z_saves_inside_p90</t>
  </si>
  <si>
    <t>savedShotsFromOutsideTheBox</t>
  </si>
  <si>
    <t>saves_outside_p90</t>
  </si>
  <si>
    <t>Arrêts sur tirs depuis l'extérieur de la surface — saves sur frappes lointaines. Généralement plus prévisibles mais peuvent être déviées. Indicateur du volume de tirs lointains arrêtés.</t>
  </si>
  <si>
    <t>Alisson arrête une frappe de 25m de Salah qui allait dans le coin = 1 savedShotFromOutsideTheBox</t>
  </si>
  <si>
    <t>feat_saves_outside_p90</t>
  </si>
  <si>
    <t>z_saves_outside_p90</t>
  </si>
  <si>
    <t>crossesNotClaimed</t>
  </si>
  <si>
    <t>crosses_not_claimed_p90</t>
  </si>
  <si>
    <t>Centres non interceptés par le gardien — ballon joué depuis les côtés vers la surface que le gardien n'a pas capté ni dégagé. Feature à inverser : plus ce nombre est élevé, moins le gardien contrôle sa surface.</t>
  </si>
  <si>
    <t>Un corner arrive dans la surface, Courtois ne sort pas et le ballon traîne = 1 crossNotClaimed</t>
  </si>
  <si>
    <t>feat_crosses_not_claimed_p90</t>
  </si>
  <si>
    <t>z_crosses_not_claimed_p90</t>
  </si>
  <si>
    <t>_penalty_save_pct</t>
  </si>
  <si>
    <t>penalty_save_pct</t>
  </si>
  <si>
    <t>% pénaltys arrêtés = penaltySave / penaltyFaced × 100. Mesure la performance du gardien sur penalty. Calculé uniquement pour les gardiens ayant fait face à au moins 1 pénalty saison.</t>
  </si>
  <si>
    <t>Alisson face à 5 pénaltys, en arrête 2 = 40% penalty_save_pct. Moyenne PL gardien ≈ 20-30%</t>
  </si>
  <si>
    <t>feat_penalty_save_pct</t>
  </si>
  <si>
    <t>z_penalty_save_pct</t>
  </si>
  <si>
    <t>rating</t>
  </si>
  <si>
    <t>ss_rating</t>
  </si>
  <si>
    <t>raw</t>
  </si>
  <si>
    <t>Note SofaScore calculée algorithmiquement à partir de l'ensemble des actions de jeu pondérées par poste. Échelle 1-10, mise à jour après chaque match. Utilisée comme benchmark de validation des scores du modèle.</t>
  </si>
  <si>
    <t>De Bruyne : moyenne 7.3 sur la saison = excellent. Moyenne joueur ≈ 6.8. Gardien bonne saison ≈ 7.0-7.2</t>
  </si>
  <si>
    <t>ALL</t>
  </si>
  <si>
    <t>feat_ss_rating</t>
  </si>
  <si>
    <t>z_ss_rating</t>
  </si>
  <si>
    <t>_save_pct</t>
  </si>
  <si>
    <t>save_pct</t>
  </si>
  <si>
    <t>Arrêts réalisés divisés par tirs cadrés adverses reçus. Ne tient pas compte de la difficulté des tirs (contrairement à PSxG). Un gardien face à une équipe qui tire beaucoup de loin aura mécaniquement un bon % même s'il n'est pas excellent.</t>
  </si>
  <si>
    <t>Alisson : 112 arrêts / 140 tirs cadrés = 80%. Valeur top gardien PL ≈ 72-78%</t>
  </si>
  <si>
    <t>feat_save_pct</t>
  </si>
  <si>
    <t>z_save_pct</t>
  </si>
  <si>
    <t>cleanSheets</t>
  </si>
  <si>
    <t>Match sans but encaissé. Ancienne nomenclature Opta (= cleanSheet dans les données actuelles). Per-90 utilisé comme proportion de matchs à zéro.</t>
  </si>
  <si>
    <t>Ederson joue 90min sans encaisser = 1 cleanSheet</t>
  </si>
  <si>
    <t>goalsConceded</t>
  </si>
  <si>
    <t>goals_conc_p90</t>
  </si>
  <si>
    <t>Buts encaissés sur la saison. Feature à inverser : moins le gardien encaisse, mieux c'est. Corrélé à la qualité défensive collective — un gardien de grande équipe encaissera naturellement moins.</t>
  </si>
  <si>
    <t>Courtois encaisse 1 but par match en moyenne = 1 goal_conc_p90. Top gardien PL ≈ 0.8-1.0</t>
  </si>
  <si>
    <t>feat_goals_conc_p90</t>
  </si>
  <si>
    <t>z_goals_conc_p90</t>
  </si>
  <si>
    <t>xGoalsConceded</t>
  </si>
  <si>
    <t>xg_conc_p90</t>
  </si>
  <si>
    <t>xGoals concédés — somme des probabilités de but des tirs adverses reçus. Mesure la difficulté des arrêts du gardien indépendamment des résultats. Base du calcul de goalsPrevented.</t>
  </si>
  <si>
    <t>Ederson reçoit 5 tirs/match avec xGC cumulé = 1.2/match → équipe concède moins que prévu si réels buts &lt; 1.2</t>
  </si>
  <si>
    <t>feat_xg_conc_p90</t>
  </si>
  <si>
    <t>z_xg_conc_p90</t>
  </si>
  <si>
    <t>goalsPrevented</t>
  </si>
  <si>
    <t>goals_prevented_p90</t>
  </si>
  <si>
    <t>Buts évités = arrêts réalisés moins xGoals concédés attendus. Mesure la surperformance du gardien par rapport aux attentes. Équivalent SofaScore du PSxG+/- de FBref. Positif = meilleur que prévu, négatif = moins bon.</t>
  </si>
  <si>
    <t>Ederson reçoit 45 tirs cadrés avec xGC=38.5, encaisse 34 buts → goalsPrevented = 38.5-34 = +4.5 (surperformance)</t>
  </si>
  <si>
    <t>feat_goals_prevented_p90</t>
  </si>
  <si>
    <t>z_goals_prevented_p90</t>
  </si>
  <si>
    <t>penaltiesSaved</t>
  </si>
  <si>
    <t>pk_saved_p90</t>
  </si>
  <si>
    <t>Pénaltys arrêtés en absolu (nb de penalties stoppés sur la saison). Comptabilise uniquement les arrêts directs, pas les tirs repoussés puis marqués sur le rebond.</t>
  </si>
  <si>
    <t>Alisson arrête 2 pénaltys sur la saison = 2 penaltiesSaved. Stat très rare — la plupart des gardiens → 0-1/saison</t>
  </si>
  <si>
    <t>feat_pk_saved_p90</t>
  </si>
  <si>
    <t>z_pk_saved_p90</t>
  </si>
  <si>
    <t>highClaims</t>
  </si>
  <si>
    <t>high_claims_p90</t>
  </si>
  <si>
    <t>Captages hauts réussis — le gardien sort aériennement pour attraper ou dégager un centre ou corner en hauteur, en challengeant avec des attaquants adverses. Réussi = le gardien capture ou dégage proprement sans laisser la balle traîner.</t>
  </si>
  <si>
    <t>Alisson sort sur un corner, capte le ballon devant Lukaku qui challengeait = 1 high claim réussi. Alisson sort, perd le duel et le ballon traîne = 0 high claim réussi</t>
  </si>
  <si>
    <t>feat_high_claims_p90</t>
  </si>
  <si>
    <t>z_high_claims_p90</t>
  </si>
  <si>
    <t>runsOut</t>
  </si>
  <si>
    <t>runs_out_p90</t>
  </si>
  <si>
    <t>Sorties physiques du gardien HORS de sa surface de réparation pour intervenir sur le ballon — couper une passe longue, contrer un dribbleur en un-contre-un, dégager un ballon avant l'attaquant. Le gardien doit franchir la ligne des 18m.</t>
  </si>
  <si>
    <t>Neuer sort à 30m de son but pour couper un ballon dans le dos de Boateng = 1 runOut. Neuer sort à la limite de sa surface = 0 runOut</t>
  </si>
  <si>
    <t>feat_runs_out_p90</t>
  </si>
  <si>
    <t>z_runs_out_p90</t>
  </si>
  <si>
    <t>successfulRunsOut</t>
  </si>
  <si>
    <t>runs_out_suc_p90</t>
  </si>
  <si>
    <t>Sous-ensemble des sorties (runsOut) réussies — le gardien récupère proprement le ballon ou le dégage sans laisser de rebond dangereux. Indicateur de précision dans les sorties hors surface.</t>
  </si>
  <si>
    <t>Neuer sort à 25m et capte le ballon proprement = 1 successful runOut. Neuer sort, rate le ballon, attaquant passe à côté = runOut non réussi</t>
  </si>
  <si>
    <t>feat_runs_out_suc_p90</t>
  </si>
  <si>
    <t>z_runs_out_suc_p90</t>
  </si>
  <si>
    <t>punches</t>
  </si>
  <si>
    <t>punches_p90</t>
  </si>
  <si>
    <t>Dégagements au poing — action du gardien qui repousse le ballon du poing plutôt que de le capter. Souvent utilisé sur les centres difficiles à contrôler en conditions de pression.</t>
  </si>
  <si>
    <t>Lloris ne peut pas capter un corner tendu et repousse du poing = 1 punch</t>
  </si>
  <si>
    <t>feat_punches_p90</t>
  </si>
  <si>
    <t>z_punches_p90</t>
  </si>
  <si>
    <t>totalKeeperSweeper</t>
  </si>
  <si>
    <t>gk_sweeper_p90</t>
  </si>
  <si>
    <t>Actions sweeper du gardien = toutes les interventions où le gardien agit en dernier défenseur sur un ballon dangereux arrivant derrière sa défense. Plus large que runsOut — inclut les sorties DANS la surface sur ballons filtrés. runsOut ⊂ keeperSweeper.</t>
  </si>
  <si>
    <t>Ederson sort à 30m = runOut ET keeperSweeper. Ederson sort à 15m (dans sa surface) pour couper un ballon filtré = keeperSweeper mais PAS runOut</t>
  </si>
  <si>
    <t>feat_gk_sweeper_p90</t>
  </si>
  <si>
    <t>z_gk_sweeper_p90</t>
  </si>
  <si>
    <t>accurateKeeperSweeper</t>
  </si>
  <si>
    <t>gk_sweeper_acc_p90</t>
  </si>
  <si>
    <t>Actions sweeper réussies — sous-ensemble des keeperSweeper où le gardien récupère ou dégage proprement le ballon arrivant derrière la défense. Indicateur de précision du jeu en sweeper keeper.</t>
  </si>
  <si>
    <t>Ederson sort en sweeper et capte proprement le ballon filtré = 1 accurate keeperSweeper. Ederson sort, manque le ballon = keeperSweeper non réussi</t>
  </si>
  <si>
    <t>feat_gk_sweeper_acc_p90</t>
  </si>
  <si>
    <t>z_gk_sweeper_acc_p90</t>
  </si>
  <si>
    <t>savedShotsFromInsideBox</t>
  </si>
  <si>
    <t>Arrêts sur tirs depuis l'intérieur de la surface de réparation. Ancienne nomenclature API (= savedShotsFromInsideTheBox dans les données actuelles).</t>
  </si>
  <si>
    <t>Alisson arrête une frappe à bout portant = 1 savedShotFromInsideBox</t>
  </si>
  <si>
    <t>savedShotsFromOutsideBox</t>
  </si>
  <si>
    <t>Arrêts sur tirs depuis l'extérieur de la surface. Ancienne nomenclature API (= savedShotsFromOutsideTheBox dans les données actuelles).</t>
  </si>
  <si>
    <t>Alisson arrête une frappe de 25m = 1 savedShotFromOutsideBox</t>
  </si>
  <si>
    <t>gk_long_balls_pct</t>
  </si>
  <si>
    <t>% longues passes réussies du gardien — passes longues réussies / tentées. Indicateur clé du gardien relanceur ou sweeper keeper qui participe à la construction.</t>
  </si>
  <si>
    <t>Ederson joue 8 longues passes, 6 arrivent à un coéquipier = 75% gk_long_balls_pct</t>
  </si>
  <si>
    <t>feat_gk_long_balls_pct</t>
  </si>
  <si>
    <t>z_gk_long_balls_pct</t>
  </si>
  <si>
    <t>averageX</t>
  </si>
  <si>
    <t>avg_x</t>
  </si>
  <si>
    <t>Position X moyenne du joueur sur le terrain au moment de ses touches de balle, agrégée sur la saison via l'endpoint heatmap/overall SofaScore. X=0 = ligne de but propre, X=100 = ligne de but adverse. Calculé comme moyenne des coordonnées X de toutes les touches de la heatmap saison.</t>
  </si>
  <si>
    <t>Benzema saison faux-9 : avgX≈62 (milieu-haut). Haaland : avgX≈80 (très haut). Casemiro sentinelle : avgX≈35 (bas)</t>
  </si>
  <si>
    <t>feat_avg_x</t>
  </si>
  <si>
    <t>z_avg_x</t>
  </si>
  <si>
    <t>averageY</t>
  </si>
  <si>
    <t>avg_y</t>
  </si>
  <si>
    <t>Position Y moyenne du joueur (axe latéral), agrégée sur la saison. Y=0 = ligne de touche gauche, Y=100 = ligne de touche droite, Y=50 = axe central. Utilisé pour distinguer ailier excentré (Y≈10 ou 90) d'un intérieur (Y≈30 ou 70).</t>
  </si>
  <si>
    <t>Trent Alexander-Arnold : avgY≈80 (côté droit collé). Modric : avgY≈50 (axe central). Salah ailier droit rentrant : avgY≈65</t>
  </si>
  <si>
    <t>feat_avg_y</t>
  </si>
  <si>
    <t>z_avg_y</t>
  </si>
  <si>
    <t>ppda</t>
  </si>
  <si>
    <t>ppda_team</t>
  </si>
  <si>
    <t>Passes Per Defensive Action — nombre de passes que l'équipe adverse réalise pour chaque action défensive (tacle, interception, faute) effectuée par l'équipe en phase de pressing. Bas = pressing intense. Haut = bloc bas, peu de pressing haut.</t>
  </si>
  <si>
    <t>Manchester City 2023 : ppda≈5.2 (pressing très intense, 1 action défensive toutes les 5 passes adverses). Leicester défensif : ppda≈14 (bloc bas, 1 action toutes les 14 passes)</t>
  </si>
  <si>
    <t>feat_ppda_team</t>
  </si>
  <si>
    <t>z_ppda_team</t>
  </si>
  <si>
    <t>oppda</t>
  </si>
  <si>
    <t>oppda_team</t>
  </si>
  <si>
    <t>OPPDA (Opposing PPDA) — PPDA de l'équipe adverse subi par l'équipe du joueur. Mesure l'intensité du pressing adverse. Bas = l'équipe est soumise à un pressing intense de ses adversaires.</t>
  </si>
  <si>
    <t>Équipe qui joue contre des équipes peu agressives : oppda élevé. Équipe soumise à un pressing intense : oppda bas</t>
  </si>
  <si>
    <t>feat_oppda_team</t>
  </si>
  <si>
    <t>z_oppda_team</t>
  </si>
  <si>
    <t>deep</t>
  </si>
  <si>
    <t>deep_passes_team</t>
  </si>
  <si>
    <t>Nombre de passes complétées dans les 40 derniers mètres du terrain adverse par match. Mesure la profondeur des phases offensives — une équipe avec un 'deep' élevé pénètre régulièrement dans la zone dangereuse par la passe.</t>
  </si>
  <si>
    <t>Équipe dominant possession : deep≈12-15. Équipe en contre : deep≈5-7</t>
  </si>
  <si>
    <t>feat_deep_passes_team</t>
  </si>
  <si>
    <t>z_deep_passes_team</t>
  </si>
  <si>
    <t>odc</t>
  </si>
  <si>
    <t>odc_team</t>
  </si>
  <si>
    <t>Passes profondes concédées par match (dans les 40 derniers mètres du terrain propre). Mesure l'exposition défensive de l'équipe dans les zones dangereuses. Contexte pour interpréter les stats défensives individuelles.</t>
  </si>
  <si>
    <t>Équipe exposée défensivement : odc élevé. Équipe en bloc bas compact : odc faible</t>
  </si>
  <si>
    <t>feat_odc_team</t>
  </si>
  <si>
    <t>z_odc_team</t>
  </si>
  <si>
    <t>xp</t>
  </si>
  <si>
    <t>xp_team</t>
  </si>
  <si>
    <t>Différence entre les points réels obtenus et les expected points (xPts) calculés sur la base des xG créés et concédés par match. Positif = équipe qui surperforme ses xG (chance, gardien excellent). Négatif = sous-performe.</t>
  </si>
  <si>
    <t>Liverpool xpts_diff=+6 : a obtenu 6 points de plus que ses xG ne le prédisaient → chance ou très bon gardien. Chelsea xpts_diff=-8 → sous-performance finition</t>
  </si>
  <si>
    <t>feat_xp_team</t>
  </si>
  <si>
    <t>z_xp_team</t>
  </si>
  <si>
    <t>xg</t>
  </si>
  <si>
    <t>xg_team</t>
  </si>
  <si>
    <t>xG total de l'équipe sur la saison — mesure la qualité offensive de l'équipe indépendamment des résultats. Contexte pour interpréter les stats offensives individuelles.</t>
  </si>
  <si>
    <t>Man City : xG équipe=85/saison (excellente création offensive). Équipe de bas de tableau : xG≈35-45</t>
  </si>
  <si>
    <t>feat_xg_team</t>
  </si>
  <si>
    <t>z_xg_team</t>
  </si>
  <si>
    <t>xg_against</t>
  </si>
  <si>
    <t>xga_team</t>
  </si>
  <si>
    <t>xGA total de l'équipe sur la saison — xGoals concédés. Contexte défensif de l'équipe du joueur. Faible xGA = défense solide, évalue mieux la contribution défensive individuelle.</t>
  </si>
  <si>
    <t>Man City : xGA≈32/saison (défense hermétique). Équipe exposée : xGA≈60-70</t>
  </si>
  <si>
    <t>feat_xga_team</t>
  </si>
  <si>
    <t>z_xga_team</t>
  </si>
  <si>
    <t>age_tm</t>
  </si>
  <si>
    <t>age</t>
  </si>
  <si>
    <t>Âge du joueur au moment du scraping Transfermarkt. Donnée statique issue du profil officiel TM. Contexte pour pondérer la valeur marchande et anticiper l'évolution de carrière.</t>
  </si>
  <si>
    <t>Bellingham : 21 ans (prime value). Van Dijk : 33 ans (décote âge malgré niveau maintenu)</t>
  </si>
  <si>
    <t>feat_age</t>
  </si>
  <si>
    <t>z_age</t>
  </si>
  <si>
    <t>height</t>
  </si>
  <si>
    <t>height_cm</t>
  </si>
  <si>
    <t>Taille en cm déclarée sur le profil officiel Transfermarkt du joueur. Donnée statique, issue des fiches officielles clubs / fédérations.</t>
  </si>
  <si>
    <t>Virgil van Dijk : 193cm. Thibaut Courtois : 199cm. Seuil 'tour de contrôle' CB : ≥188cm</t>
  </si>
  <si>
    <t>CB|CF|GK</t>
  </si>
  <si>
    <t>feat_height_cm</t>
  </si>
  <si>
    <t>z_height_cm</t>
  </si>
  <si>
    <t>market_value</t>
  </si>
  <si>
    <t>Estimation de la valeur marchande actuelle du joueur par la communauté Transfermarkt, mise à jour périodiquement. Basée sur l'âge, les performances, le contrat restant, l'inflation du marché. N'est pas une valeur contractuelle — c'est une estimation de ce qu'un club paierait.</t>
  </si>
  <si>
    <t>Bellingham évalué 200M€ = estimation TM communauté, pas valeur contractuelle. Kane à 30 ans : 80M€ vs 150M€ à 27 ans (décote âge)</t>
  </si>
  <si>
    <t>feat_market_value</t>
  </si>
  <si>
    <t>z_market_value</t>
  </si>
  <si>
    <t>Pondération</t>
  </si>
  <si>
    <t>pondération</t>
  </si>
  <si>
    <t>important</t>
  </si>
  <si>
    <t>passable</t>
  </si>
  <si>
    <t>critique</t>
  </si>
  <si>
    <t>pondération (RECHERCHEV lc)</t>
  </si>
  <si>
    <t xml:space="preserve">pondération </t>
  </si>
  <si>
    <t>criticité</t>
  </si>
  <si>
    <t>np_xg</t>
  </si>
  <si>
    <t>high_claims_pct</t>
  </si>
  <si>
    <t>Passes aériennes captées / (captées + ratées). highClaims = gardien sort et capte le ballon aérien. crossesNotClaimed = gardien sort pour capter un cross mais rate le ballon. Ratio de réussite sur les sorties aériennes tentées.</t>
  </si>
  <si>
    <t>Alisson : 28 highClaims, 3 crossesNotClaimed → high_claims_pct = 28/31 = 90.3%</t>
  </si>
  <si>
    <t>feat_high_claims_pct</t>
  </si>
  <si>
    <t>z_high_claims_pct</t>
  </si>
  <si>
    <t>runs_out_pct</t>
  </si>
  <si>
    <t>Sorties hors surface réussies / sorties tentées. runsOut = gardien franchit la ligne des 18m pour intervenir sur le ballon. successfulRunsOut = parmi ces sorties, celles où il obtient le ballon.</t>
  </si>
  <si>
    <t>Neuer : 18 runsOut, 16 successfulRunsOut → runs_out_pct = 88.9%</t>
  </si>
  <si>
    <t>feat_runs_out_pct</t>
  </si>
  <si>
    <t>z_runs_out_pct</t>
  </si>
  <si>
    <t>derived</t>
  </si>
  <si>
    <t>np_goals_minus_npxg</t>
  </si>
  <si>
    <t>Différentiel de finition : buts hors-pénalty par 90 min moins npxG par 90 min (source Understat). Valeur positive = surperforme ses xG (bon finisseur). Valeur négative = sous-performe. Calculé comme npGoals_p90 - npxg_p90, où npGoals = goals - penalty_goals.</t>
  </si>
  <si>
    <t>Haaland npGoals_p90=0.85, npxg_p90=0.62 → différentiel=+0.23 (excellent finisseur). Joueur moyen ≈ 0. Buteur chanceux ≈ -0.10</t>
  </si>
  <si>
    <t>feat_np_goals_minus_npxg</t>
  </si>
  <si>
    <t>z_np_goals_minus_npxg</t>
  </si>
  <si>
    <t>Différentiel de finition : buts hors-pénalty p90 moins npxG p90. Valeur positive = surperforme ses xG (bon finisseur). Calculé comme npGoals_p90 - npxg_p90.</t>
  </si>
  <si>
    <t>Haaland +0.23 = excellent finisseur. Joueur moyen ≈ 0. Buteur chanceux ≈ -0.10</t>
  </si>
  <si>
    <t>Conduites progressives par 90 min — conduites de balle avançant d'au moins 10 yards vers le but adverse (ou entrant dans la surface de réparation). Mesure la capacité à porter le ballon dans le dos de la défense et créer des situations dangeureuses par la percussion balle au pied.</t>
  </si>
  <si>
    <t>Mbappé part côté gauche, conduit 15m vers l'intérieur et arrive à l'entrée de la surface = 1 progressive carry. Vinicius : 6-8 progressive carries/match = profil percuteur élite</t>
  </si>
  <si>
    <t>W|CF|AM|CM|FB</t>
  </si>
  <si>
    <t>Touches de balle dans la surface de réparation adverse (18 yards) par 90 min. Mesure la présence physique dans la zone de vérité — combinaison de courses, de remises, de fixations et de tirs depuis la surface. Indicateur clé pour les avant-centres et ailiers qui finissent.</t>
  </si>
  <si>
    <t>Giroud reçoit un centre dans la surface, remet de la tête = 1 touch in box. Haaland contrôle et frappe = 1 touch in box. Valeur top CF PL ≈ 6-10/match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</si>
</sst>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FFFFFF"/>
      <name val="Aptos Narrow"/>
      <family val="2"/>
      <scheme val="minor"/>
    </font>
    <font>
      <sz val="11"/>
      <color rgb="FF000000"/>
      <name val="Aptos Narrow"/>
      <family val="2"/>
      <scheme val="minor"/>
    </font>
    <font>
      <sz val="11"/>
      <color rgb="FFFFFFFF"/>
      <name val="Aptos Narrow"/>
      <family val="2"/>
      <scheme val="minor"/>
    </font>
    <font>
      <b/>
      <sz val="11"/>
      <name val="Aptos Narrow"/>
      <family val="2"/>
      <scheme val="minor"/>
    </font>
    <font>
      <sz val="11"/>
      <name val="Aptos Narrow"/>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F4E79"/>
        <bgColor indexed="64"/>
      </patternFill>
    </fill>
    <fill>
      <patternFill patternType="solid">
        <fgColor rgb="FF375623"/>
        <bgColor indexed="64"/>
      </patternFill>
    </fill>
    <fill>
      <patternFill patternType="solid">
        <fgColor rgb="FFF4B942"/>
        <bgColor indexed="64"/>
      </patternFill>
    </fill>
    <fill>
      <patternFill patternType="solid">
        <fgColor rgb="FFE2EFDA"/>
        <bgColor indexed="64"/>
      </patternFill>
    </fill>
    <fill>
      <patternFill patternType="solid">
        <fgColor rgb="FFC00000"/>
        <bgColor indexed="64"/>
      </patternFill>
    </fill>
    <fill>
      <patternFill patternType="solid">
        <fgColor rgb="FF833C00"/>
        <bgColor indexed="64"/>
      </patternFill>
    </fill>
    <fill>
      <patternFill patternType="solid">
        <fgColor rgb="FF2E4057"/>
        <bgColor indexed="64"/>
      </patternFill>
    </fill>
    <fill>
      <patternFill patternType="solid">
        <fgColor rgb="FF7030A0"/>
        <bgColor indexed="64"/>
      </patternFill>
    </fill>
    <fill>
      <patternFill patternType="solid">
        <fgColor rgb="FFC55A11"/>
        <bgColor indexed="64"/>
      </patternFill>
    </fill>
    <fill>
      <patternFill patternType="solid">
        <fgColor rgb="FF843C0C"/>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18" fillId="33" borderId="0" xfId="0" applyFont="1" applyFill="1"/>
    <xf numFmtId="0" fontId="18" fillId="34" borderId="0" xfId="0" applyFont="1" applyFill="1"/>
    <xf numFmtId="0" fontId="19" fillId="35" borderId="0" xfId="0" applyFont="1" applyFill="1"/>
    <xf numFmtId="0" fontId="19" fillId="36" borderId="0" xfId="0" applyFont="1" applyFill="1"/>
    <xf numFmtId="0" fontId="20" fillId="37" borderId="0" xfId="0" applyFont="1" applyFill="1"/>
    <xf numFmtId="0" fontId="21" fillId="34" borderId="0" xfId="0" applyFont="1" applyFill="1"/>
    <xf numFmtId="0" fontId="22" fillId="0" borderId="0" xfId="0" applyFont="1"/>
    <xf numFmtId="0" fontId="18" fillId="38" borderId="0" xfId="0" applyFont="1" applyFill="1"/>
    <xf numFmtId="0" fontId="18" fillId="39" borderId="0" xfId="0" applyFont="1" applyFill="1"/>
    <xf numFmtId="0" fontId="18" fillId="40" borderId="0" xfId="0" applyFont="1" applyFill="1"/>
    <xf numFmtId="0" fontId="19" fillId="0" borderId="0" xfId="0" applyFont="1" applyFill="1"/>
    <xf numFmtId="0" fontId="22" fillId="0" borderId="0" xfId="0" applyFont="1" applyFill="1"/>
    <xf numFmtId="0" fontId="18" fillId="41" borderId="0" xfId="0" applyFont="1" applyFill="1"/>
    <xf numFmtId="0" fontId="18" fillId="42" borderId="0" xfId="0" applyFont="1" applyFill="1"/>
    <xf numFmtId="0" fontId="0" fillId="0" borderId="0" xfId="0" applyFill="1"/>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19"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AE8BE9A-10F3-4543-82AF-3C328612AB60}">
  <we:reference id="wa200010725" version="1.0.0.1" store="fr-FR" storeType="OMEX"/>
  <we:alternateReferences>
    <we:reference id="wa200010725" version="1.0.0.1" store="wa200010725" storeType="OMEX"/>
  </we:alternateReferences>
  <we:properties>
    <we:property name="claude.fileId" value="&quot;68eb7e3c-3de0-46c6-82a9-66b09e74d4a8&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B2FF1-3BEA-4F8E-AFC3-8B7FCF8A0E58}">
  <dimension ref="A1:I99"/>
  <sheetViews>
    <sheetView topLeftCell="D2" workbookViewId="0">
      <selection activeCell="D21" sqref="D21"/>
    </sheetView>
  </sheetViews>
  <sheetFormatPr baseColWidth="10" defaultRowHeight="14.6" x14ac:dyDescent="0.4"/>
  <cols>
    <col min="1" max="1" width="26.61328125" bestFit="1" customWidth="1"/>
    <col min="2" max="2" width="21.84375" bestFit="1" customWidth="1"/>
    <col min="3" max="3" width="4.3046875" bestFit="1" customWidth="1"/>
    <col min="4" max="4" width="234.3046875" bestFit="1" customWidth="1"/>
    <col min="5" max="5" width="148.3828125" bestFit="1" customWidth="1"/>
    <col min="6" max="6" width="20.15234375" bestFit="1" customWidth="1"/>
    <col min="7" max="7" width="7.3828125" bestFit="1" customWidth="1"/>
    <col min="8" max="8" width="25.84375" bestFit="1" customWidth="1"/>
    <col min="9" max="9" width="23.4609375" bestFit="1" customWidth="1"/>
  </cols>
  <sheetData>
    <row r="1" spans="1:9" x14ac:dyDescent="0.4">
      <c r="A1" t="s">
        <v>0</v>
      </c>
      <c r="B1" t="s">
        <v>1</v>
      </c>
      <c r="C1" t="s">
        <v>2</v>
      </c>
      <c r="D1" t="s">
        <v>3</v>
      </c>
      <c r="E1" t="s">
        <v>4</v>
      </c>
      <c r="F1" t="s">
        <v>5</v>
      </c>
      <c r="G1" t="s">
        <v>6</v>
      </c>
      <c r="H1" t="s">
        <v>7</v>
      </c>
      <c r="I1" t="s">
        <v>8</v>
      </c>
    </row>
    <row r="2" spans="1:9" x14ac:dyDescent="0.4">
      <c r="A2" t="s">
        <v>9</v>
      </c>
      <c r="B2" t="s">
        <v>10</v>
      </c>
      <c r="C2" t="s">
        <v>11</v>
      </c>
      <c r="D2" t="s">
        <v>12</v>
      </c>
      <c r="E2" t="s">
        <v>13</v>
      </c>
      <c r="F2" t="s">
        <v>14</v>
      </c>
      <c r="G2" t="s">
        <v>15</v>
      </c>
      <c r="H2" t="s">
        <v>16</v>
      </c>
      <c r="I2" t="s">
        <v>17</v>
      </c>
    </row>
    <row r="3" spans="1:9" x14ac:dyDescent="0.4">
      <c r="A3" t="s">
        <v>18</v>
      </c>
      <c r="B3" t="s">
        <v>19</v>
      </c>
      <c r="C3" t="s">
        <v>11</v>
      </c>
      <c r="D3" t="s">
        <v>20</v>
      </c>
      <c r="E3" t="s">
        <v>21</v>
      </c>
      <c r="F3" t="s">
        <v>22</v>
      </c>
      <c r="G3" t="s">
        <v>15</v>
      </c>
      <c r="H3" t="s">
        <v>23</v>
      </c>
      <c r="I3" t="s">
        <v>24</v>
      </c>
    </row>
    <row r="4" spans="1:9" x14ac:dyDescent="0.4">
      <c r="A4" t="s">
        <v>652</v>
      </c>
      <c r="B4" t="s">
        <v>26</v>
      </c>
      <c r="C4" t="s">
        <v>11</v>
      </c>
      <c r="D4" t="s">
        <v>27</v>
      </c>
      <c r="E4" t="s">
        <v>28</v>
      </c>
      <c r="F4" t="s">
        <v>22</v>
      </c>
      <c r="G4" t="s">
        <v>15</v>
      </c>
      <c r="H4" t="s">
        <v>29</v>
      </c>
      <c r="I4" t="s">
        <v>30</v>
      </c>
    </row>
    <row r="5" spans="1:9" x14ac:dyDescent="0.4">
      <c r="A5" t="s">
        <v>31</v>
      </c>
      <c r="B5" t="s">
        <v>32</v>
      </c>
      <c r="C5" t="s">
        <v>11</v>
      </c>
      <c r="D5" t="s">
        <v>33</v>
      </c>
      <c r="E5" t="s">
        <v>34</v>
      </c>
      <c r="F5" t="s">
        <v>35</v>
      </c>
      <c r="G5" t="s">
        <v>15</v>
      </c>
      <c r="H5" t="s">
        <v>36</v>
      </c>
      <c r="I5" t="s">
        <v>37</v>
      </c>
    </row>
    <row r="6" spans="1:9" x14ac:dyDescent="0.4">
      <c r="A6" t="s">
        <v>38</v>
      </c>
      <c r="B6" t="s">
        <v>39</v>
      </c>
      <c r="C6" t="s">
        <v>11</v>
      </c>
      <c r="D6" t="s">
        <v>40</v>
      </c>
      <c r="E6" t="s">
        <v>41</v>
      </c>
      <c r="F6" t="s">
        <v>42</v>
      </c>
      <c r="G6" t="s">
        <v>15</v>
      </c>
      <c r="H6" t="s">
        <v>43</v>
      </c>
      <c r="I6" t="s">
        <v>44</v>
      </c>
    </row>
    <row r="7" spans="1:9" x14ac:dyDescent="0.4">
      <c r="A7" t="s">
        <v>45</v>
      </c>
      <c r="B7" t="s">
        <v>46</v>
      </c>
      <c r="C7" t="s">
        <v>11</v>
      </c>
      <c r="D7" t="s">
        <v>47</v>
      </c>
      <c r="E7" t="s">
        <v>48</v>
      </c>
      <c r="F7" t="s">
        <v>49</v>
      </c>
      <c r="G7" t="s">
        <v>15</v>
      </c>
      <c r="H7" t="s">
        <v>50</v>
      </c>
      <c r="I7" t="s">
        <v>51</v>
      </c>
    </row>
    <row r="8" spans="1:9" x14ac:dyDescent="0.4">
      <c r="A8" t="s">
        <v>52</v>
      </c>
      <c r="B8" t="s">
        <v>53</v>
      </c>
      <c r="C8" t="s">
        <v>11</v>
      </c>
      <c r="D8" t="s">
        <v>54</v>
      </c>
      <c r="E8" t="s">
        <v>55</v>
      </c>
      <c r="F8" t="s">
        <v>49</v>
      </c>
      <c r="G8" t="s">
        <v>15</v>
      </c>
      <c r="H8" t="s">
        <v>56</v>
      </c>
      <c r="I8" t="s">
        <v>57</v>
      </c>
    </row>
    <row r="9" spans="1:9" x14ac:dyDescent="0.4">
      <c r="A9" t="s">
        <v>58</v>
      </c>
      <c r="B9" t="s">
        <v>59</v>
      </c>
      <c r="C9" t="s">
        <v>11</v>
      </c>
      <c r="D9" t="s">
        <v>60</v>
      </c>
      <c r="E9" t="s">
        <v>61</v>
      </c>
      <c r="F9" t="s">
        <v>62</v>
      </c>
      <c r="G9" t="s">
        <v>15</v>
      </c>
      <c r="H9" t="s">
        <v>63</v>
      </c>
      <c r="I9" t="s">
        <v>64</v>
      </c>
    </row>
    <row r="10" spans="1:9" x14ac:dyDescent="0.4">
      <c r="A10" t="s">
        <v>65</v>
      </c>
      <c r="B10" t="s">
        <v>66</v>
      </c>
      <c r="C10" t="s">
        <v>11</v>
      </c>
      <c r="D10" t="s">
        <v>67</v>
      </c>
      <c r="E10" t="s">
        <v>68</v>
      </c>
      <c r="F10" t="s">
        <v>22</v>
      </c>
      <c r="G10" t="s">
        <v>15</v>
      </c>
      <c r="H10" t="s">
        <v>69</v>
      </c>
      <c r="I10" t="s">
        <v>70</v>
      </c>
    </row>
    <row r="11" spans="1:9" x14ac:dyDescent="0.4">
      <c r="A11" t="s">
        <v>71</v>
      </c>
      <c r="B11" t="s">
        <v>72</v>
      </c>
      <c r="C11" t="s">
        <v>11</v>
      </c>
      <c r="D11" t="s">
        <v>73</v>
      </c>
      <c r="E11" t="s">
        <v>74</v>
      </c>
      <c r="F11" t="s">
        <v>49</v>
      </c>
      <c r="G11" t="s">
        <v>15</v>
      </c>
      <c r="H11" t="s">
        <v>75</v>
      </c>
      <c r="I11" t="s">
        <v>76</v>
      </c>
    </row>
    <row r="12" spans="1:9" x14ac:dyDescent="0.4">
      <c r="A12" t="s">
        <v>77</v>
      </c>
      <c r="B12" t="s">
        <v>78</v>
      </c>
      <c r="C12" t="s">
        <v>79</v>
      </c>
      <c r="D12" t="s">
        <v>80</v>
      </c>
      <c r="E12" t="s">
        <v>81</v>
      </c>
      <c r="F12" t="s">
        <v>49</v>
      </c>
      <c r="G12" t="s">
        <v>15</v>
      </c>
      <c r="H12" t="s">
        <v>82</v>
      </c>
      <c r="I12" t="s">
        <v>83</v>
      </c>
    </row>
    <row r="13" spans="1:9" x14ac:dyDescent="0.4">
      <c r="A13" t="s">
        <v>84</v>
      </c>
      <c r="B13" t="s">
        <v>85</v>
      </c>
      <c r="C13" t="s">
        <v>11</v>
      </c>
      <c r="D13" t="s">
        <v>86</v>
      </c>
      <c r="E13" t="s">
        <v>87</v>
      </c>
      <c r="F13" t="s">
        <v>88</v>
      </c>
      <c r="G13" t="s">
        <v>89</v>
      </c>
      <c r="H13" t="s">
        <v>90</v>
      </c>
      <c r="I13" t="s">
        <v>91</v>
      </c>
    </row>
    <row r="14" spans="1:9" x14ac:dyDescent="0.4">
      <c r="A14" t="s">
        <v>92</v>
      </c>
      <c r="B14" t="s">
        <v>93</v>
      </c>
      <c r="C14" t="s">
        <v>11</v>
      </c>
      <c r="D14" t="s">
        <v>94</v>
      </c>
      <c r="E14" t="s">
        <v>95</v>
      </c>
      <c r="F14" t="s">
        <v>96</v>
      </c>
      <c r="G14" t="s">
        <v>15</v>
      </c>
      <c r="H14" t="s">
        <v>97</v>
      </c>
      <c r="I14" t="s">
        <v>98</v>
      </c>
    </row>
    <row r="15" spans="1:9" x14ac:dyDescent="0.4">
      <c r="A15" t="s">
        <v>99</v>
      </c>
      <c r="B15" t="s">
        <v>100</v>
      </c>
      <c r="C15" t="s">
        <v>11</v>
      </c>
      <c r="D15" t="s">
        <v>101</v>
      </c>
      <c r="E15" t="s">
        <v>102</v>
      </c>
      <c r="F15" t="s">
        <v>103</v>
      </c>
      <c r="G15" t="s">
        <v>15</v>
      </c>
      <c r="H15" t="s">
        <v>104</v>
      </c>
      <c r="I15" t="s">
        <v>105</v>
      </c>
    </row>
    <row r="16" spans="1:9" x14ac:dyDescent="0.4">
      <c r="A16" t="s">
        <v>106</v>
      </c>
      <c r="B16" t="s">
        <v>107</v>
      </c>
      <c r="C16" t="s">
        <v>11</v>
      </c>
      <c r="D16" t="s">
        <v>108</v>
      </c>
      <c r="E16" t="s">
        <v>109</v>
      </c>
      <c r="F16" t="s">
        <v>110</v>
      </c>
      <c r="G16" t="s">
        <v>15</v>
      </c>
      <c r="H16" t="s">
        <v>111</v>
      </c>
      <c r="I16" t="s">
        <v>112</v>
      </c>
    </row>
    <row r="17" spans="1:9" x14ac:dyDescent="0.4">
      <c r="A17" t="s">
        <v>113</v>
      </c>
      <c r="B17" t="s">
        <v>114</v>
      </c>
      <c r="C17" t="s">
        <v>11</v>
      </c>
      <c r="D17" t="s">
        <v>115</v>
      </c>
      <c r="E17" t="s">
        <v>116</v>
      </c>
      <c r="F17" t="s">
        <v>96</v>
      </c>
      <c r="G17" t="s">
        <v>15</v>
      </c>
      <c r="H17" t="s">
        <v>117</v>
      </c>
      <c r="I17" t="s">
        <v>118</v>
      </c>
    </row>
    <row r="18" spans="1:9" x14ac:dyDescent="0.4">
      <c r="A18" t="s">
        <v>119</v>
      </c>
      <c r="B18" t="s">
        <v>120</v>
      </c>
      <c r="C18" t="s">
        <v>11</v>
      </c>
      <c r="D18" t="s">
        <v>121</v>
      </c>
      <c r="E18" t="s">
        <v>122</v>
      </c>
      <c r="F18" t="s">
        <v>96</v>
      </c>
      <c r="G18" t="s">
        <v>15</v>
      </c>
      <c r="H18" t="s">
        <v>123</v>
      </c>
      <c r="I18" t="s">
        <v>124</v>
      </c>
    </row>
    <row r="19" spans="1:9" x14ac:dyDescent="0.4">
      <c r="A19" t="s">
        <v>125</v>
      </c>
      <c r="B19" t="s">
        <v>126</v>
      </c>
      <c r="C19" t="s">
        <v>11</v>
      </c>
      <c r="D19" t="s">
        <v>127</v>
      </c>
      <c r="E19" t="s">
        <v>128</v>
      </c>
      <c r="F19" t="s">
        <v>129</v>
      </c>
      <c r="G19" t="s">
        <v>15</v>
      </c>
      <c r="H19" t="s">
        <v>130</v>
      </c>
      <c r="I19" t="s">
        <v>131</v>
      </c>
    </row>
    <row r="20" spans="1:9" x14ac:dyDescent="0.4">
      <c r="A20" t="s">
        <v>132</v>
      </c>
      <c r="B20" t="s">
        <v>133</v>
      </c>
      <c r="C20" t="s">
        <v>11</v>
      </c>
      <c r="D20" t="s">
        <v>134</v>
      </c>
      <c r="E20" t="s">
        <v>135</v>
      </c>
      <c r="F20" t="s">
        <v>136</v>
      </c>
      <c r="G20" t="s">
        <v>15</v>
      </c>
      <c r="H20" t="s">
        <v>137</v>
      </c>
      <c r="I20" t="s">
        <v>138</v>
      </c>
    </row>
    <row r="21" spans="1:9" x14ac:dyDescent="0.4">
      <c r="A21" t="s">
        <v>146</v>
      </c>
      <c r="B21" t="s">
        <v>107</v>
      </c>
      <c r="C21" t="s">
        <v>11</v>
      </c>
      <c r="D21" t="s">
        <v>108</v>
      </c>
      <c r="E21" t="s">
        <v>109</v>
      </c>
      <c r="F21" t="s">
        <v>110</v>
      </c>
      <c r="G21" t="s">
        <v>15</v>
      </c>
      <c r="H21" t="s">
        <v>111</v>
      </c>
      <c r="I21" t="s">
        <v>112</v>
      </c>
    </row>
    <row r="22" spans="1:9" x14ac:dyDescent="0.4">
      <c r="A22" t="s">
        <v>153</v>
      </c>
      <c r="B22" t="s">
        <v>154</v>
      </c>
      <c r="C22" t="s">
        <v>11</v>
      </c>
      <c r="D22" t="s">
        <v>155</v>
      </c>
      <c r="E22" t="s">
        <v>156</v>
      </c>
      <c r="F22" t="s">
        <v>110</v>
      </c>
      <c r="G22" t="s">
        <v>15</v>
      </c>
      <c r="H22" t="s">
        <v>157</v>
      </c>
      <c r="I22" t="s">
        <v>158</v>
      </c>
    </row>
    <row r="23" spans="1:9" x14ac:dyDescent="0.4">
      <c r="A23" t="s">
        <v>159</v>
      </c>
      <c r="B23" t="s">
        <v>160</v>
      </c>
      <c r="C23" t="s">
        <v>79</v>
      </c>
      <c r="D23" t="s">
        <v>161</v>
      </c>
      <c r="E23" t="s">
        <v>162</v>
      </c>
      <c r="F23" t="s">
        <v>163</v>
      </c>
      <c r="G23" t="s">
        <v>15</v>
      </c>
      <c r="H23" t="s">
        <v>164</v>
      </c>
      <c r="I23" t="s">
        <v>165</v>
      </c>
    </row>
    <row r="24" spans="1:9" x14ac:dyDescent="0.4">
      <c r="A24" t="s">
        <v>166</v>
      </c>
      <c r="B24" t="s">
        <v>167</v>
      </c>
      <c r="C24" t="s">
        <v>11</v>
      </c>
      <c r="D24" t="s">
        <v>168</v>
      </c>
      <c r="E24" t="s">
        <v>169</v>
      </c>
      <c r="F24" t="s">
        <v>170</v>
      </c>
      <c r="G24" t="s">
        <v>15</v>
      </c>
      <c r="H24" t="s">
        <v>171</v>
      </c>
      <c r="I24" t="s">
        <v>172</v>
      </c>
    </row>
    <row r="25" spans="1:9" x14ac:dyDescent="0.4">
      <c r="A25" t="s">
        <v>173</v>
      </c>
      <c r="B25" t="s">
        <v>174</v>
      </c>
      <c r="C25" t="s">
        <v>79</v>
      </c>
      <c r="D25" t="s">
        <v>175</v>
      </c>
      <c r="E25" t="s">
        <v>176</v>
      </c>
      <c r="F25" t="s">
        <v>170</v>
      </c>
      <c r="G25" t="s">
        <v>15</v>
      </c>
      <c r="H25" t="s">
        <v>177</v>
      </c>
      <c r="I25" t="s">
        <v>178</v>
      </c>
    </row>
    <row r="26" spans="1:9" x14ac:dyDescent="0.4">
      <c r="A26" t="s">
        <v>179</v>
      </c>
      <c r="B26" t="s">
        <v>180</v>
      </c>
      <c r="C26" t="s">
        <v>11</v>
      </c>
      <c r="D26" t="s">
        <v>181</v>
      </c>
      <c r="E26" t="s">
        <v>182</v>
      </c>
      <c r="F26" t="s">
        <v>183</v>
      </c>
      <c r="G26" t="s">
        <v>15</v>
      </c>
      <c r="H26" t="s">
        <v>184</v>
      </c>
      <c r="I26" t="s">
        <v>185</v>
      </c>
    </row>
    <row r="27" spans="1:9" x14ac:dyDescent="0.4">
      <c r="A27" t="s">
        <v>186</v>
      </c>
      <c r="B27" t="s">
        <v>187</v>
      </c>
      <c r="C27" t="s">
        <v>79</v>
      </c>
      <c r="D27" t="s">
        <v>188</v>
      </c>
      <c r="E27" t="s">
        <v>189</v>
      </c>
      <c r="F27" t="s">
        <v>183</v>
      </c>
      <c r="G27" t="s">
        <v>15</v>
      </c>
      <c r="H27" t="s">
        <v>190</v>
      </c>
      <c r="I27" t="s">
        <v>191</v>
      </c>
    </row>
    <row r="28" spans="1:9" x14ac:dyDescent="0.4">
      <c r="A28" t="s">
        <v>192</v>
      </c>
      <c r="B28" t="s">
        <v>193</v>
      </c>
      <c r="C28" t="s">
        <v>11</v>
      </c>
      <c r="D28" t="s">
        <v>194</v>
      </c>
      <c r="E28" t="s">
        <v>195</v>
      </c>
      <c r="F28" t="s">
        <v>196</v>
      </c>
      <c r="G28" t="s">
        <v>15</v>
      </c>
      <c r="H28" t="s">
        <v>197</v>
      </c>
      <c r="I28" t="s">
        <v>198</v>
      </c>
    </row>
    <row r="29" spans="1:9" x14ac:dyDescent="0.4">
      <c r="A29" t="s">
        <v>199</v>
      </c>
      <c r="B29" t="s">
        <v>200</v>
      </c>
      <c r="C29" t="s">
        <v>11</v>
      </c>
      <c r="D29" t="s">
        <v>201</v>
      </c>
      <c r="E29" t="s">
        <v>202</v>
      </c>
      <c r="F29" t="s">
        <v>203</v>
      </c>
      <c r="G29" t="s">
        <v>15</v>
      </c>
      <c r="H29" t="s">
        <v>204</v>
      </c>
      <c r="I29" t="s">
        <v>205</v>
      </c>
    </row>
    <row r="30" spans="1:9" x14ac:dyDescent="0.4">
      <c r="A30" t="s">
        <v>212</v>
      </c>
      <c r="B30" t="s">
        <v>213</v>
      </c>
      <c r="C30" t="s">
        <v>11</v>
      </c>
      <c r="D30" t="s">
        <v>214</v>
      </c>
      <c r="E30" t="s">
        <v>215</v>
      </c>
      <c r="F30" t="s">
        <v>216</v>
      </c>
      <c r="G30" t="s">
        <v>15</v>
      </c>
      <c r="H30" t="s">
        <v>217</v>
      </c>
      <c r="I30" t="s">
        <v>218</v>
      </c>
    </row>
    <row r="31" spans="1:9" x14ac:dyDescent="0.4">
      <c r="A31" t="s">
        <v>219</v>
      </c>
      <c r="B31" t="s">
        <v>220</v>
      </c>
      <c r="C31" t="s">
        <v>79</v>
      </c>
      <c r="D31" t="s">
        <v>221</v>
      </c>
      <c r="E31" t="s">
        <v>222</v>
      </c>
      <c r="F31" t="s">
        <v>223</v>
      </c>
      <c r="G31" t="s">
        <v>15</v>
      </c>
      <c r="H31" t="s">
        <v>224</v>
      </c>
      <c r="I31" t="s">
        <v>225</v>
      </c>
    </row>
    <row r="32" spans="1:9" x14ac:dyDescent="0.4">
      <c r="A32" t="s">
        <v>226</v>
      </c>
      <c r="B32" t="s">
        <v>227</v>
      </c>
      <c r="C32" t="s">
        <v>11</v>
      </c>
      <c r="D32" t="s">
        <v>228</v>
      </c>
      <c r="E32" t="s">
        <v>229</v>
      </c>
      <c r="F32" t="s">
        <v>223</v>
      </c>
      <c r="G32" t="s">
        <v>15</v>
      </c>
      <c r="H32" t="s">
        <v>230</v>
      </c>
      <c r="I32" t="s">
        <v>231</v>
      </c>
    </row>
    <row r="33" spans="1:9" x14ac:dyDescent="0.4">
      <c r="A33" t="s">
        <v>232</v>
      </c>
      <c r="B33" t="s">
        <v>233</v>
      </c>
      <c r="C33" t="s">
        <v>11</v>
      </c>
      <c r="D33" t="s">
        <v>234</v>
      </c>
      <c r="E33" t="s">
        <v>235</v>
      </c>
      <c r="F33" t="s">
        <v>216</v>
      </c>
      <c r="G33" t="s">
        <v>89</v>
      </c>
      <c r="H33" t="s">
        <v>236</v>
      </c>
      <c r="I33" t="s">
        <v>237</v>
      </c>
    </row>
    <row r="34" spans="1:9" x14ac:dyDescent="0.4">
      <c r="A34" t="s">
        <v>238</v>
      </c>
      <c r="B34" t="s">
        <v>239</v>
      </c>
      <c r="C34" t="s">
        <v>11</v>
      </c>
      <c r="D34" t="s">
        <v>240</v>
      </c>
      <c r="E34" t="s">
        <v>241</v>
      </c>
      <c r="F34" t="s">
        <v>242</v>
      </c>
      <c r="G34" t="s">
        <v>89</v>
      </c>
      <c r="H34" t="s">
        <v>243</v>
      </c>
      <c r="I34" t="s">
        <v>244</v>
      </c>
    </row>
    <row r="35" spans="1:9" x14ac:dyDescent="0.4">
      <c r="A35" t="s">
        <v>245</v>
      </c>
      <c r="B35" t="s">
        <v>246</v>
      </c>
      <c r="C35" t="s">
        <v>11</v>
      </c>
      <c r="D35" t="s">
        <v>247</v>
      </c>
      <c r="E35" t="s">
        <v>248</v>
      </c>
      <c r="F35" t="s">
        <v>249</v>
      </c>
      <c r="G35" t="s">
        <v>15</v>
      </c>
      <c r="H35" t="s">
        <v>250</v>
      </c>
      <c r="I35" t="s">
        <v>251</v>
      </c>
    </row>
    <row r="36" spans="1:9" x14ac:dyDescent="0.4">
      <c r="A36" t="s">
        <v>252</v>
      </c>
      <c r="B36" t="s">
        <v>253</v>
      </c>
      <c r="C36" t="s">
        <v>11</v>
      </c>
      <c r="D36" t="s">
        <v>254</v>
      </c>
      <c r="E36" t="s">
        <v>255</v>
      </c>
      <c r="F36" t="s">
        <v>49</v>
      </c>
      <c r="G36" t="s">
        <v>15</v>
      </c>
      <c r="H36" t="s">
        <v>256</v>
      </c>
      <c r="I36" t="s">
        <v>257</v>
      </c>
    </row>
    <row r="37" spans="1:9" x14ac:dyDescent="0.4">
      <c r="A37" t="s">
        <v>258</v>
      </c>
      <c r="B37" t="s">
        <v>259</v>
      </c>
      <c r="C37" t="s">
        <v>11</v>
      </c>
      <c r="D37" t="s">
        <v>260</v>
      </c>
      <c r="E37" t="s">
        <v>261</v>
      </c>
      <c r="F37" t="s">
        <v>262</v>
      </c>
      <c r="G37" t="s">
        <v>15</v>
      </c>
      <c r="H37" t="s">
        <v>263</v>
      </c>
      <c r="I37" t="s">
        <v>264</v>
      </c>
    </row>
    <row r="38" spans="1:9" x14ac:dyDescent="0.4">
      <c r="A38" t="s">
        <v>265</v>
      </c>
      <c r="B38" t="s">
        <v>227</v>
      </c>
      <c r="C38" t="s">
        <v>11</v>
      </c>
      <c r="D38" t="s">
        <v>266</v>
      </c>
      <c r="E38" t="s">
        <v>267</v>
      </c>
      <c r="F38" t="s">
        <v>223</v>
      </c>
      <c r="G38" t="s">
        <v>15</v>
      </c>
      <c r="H38" t="s">
        <v>230</v>
      </c>
      <c r="I38" t="s">
        <v>231</v>
      </c>
    </row>
    <row r="39" spans="1:9" x14ac:dyDescent="0.4">
      <c r="A39" t="s">
        <v>268</v>
      </c>
      <c r="B39" t="s">
        <v>269</v>
      </c>
      <c r="C39" t="s">
        <v>11</v>
      </c>
      <c r="D39" t="s">
        <v>270</v>
      </c>
      <c r="E39" t="s">
        <v>271</v>
      </c>
      <c r="F39" t="s">
        <v>272</v>
      </c>
      <c r="G39" t="s">
        <v>89</v>
      </c>
      <c r="H39" t="s">
        <v>273</v>
      </c>
      <c r="I39" t="s">
        <v>274</v>
      </c>
    </row>
    <row r="40" spans="1:9" x14ac:dyDescent="0.4">
      <c r="A40" t="s">
        <v>275</v>
      </c>
      <c r="B40" t="s">
        <v>276</v>
      </c>
      <c r="C40" t="s">
        <v>11</v>
      </c>
      <c r="D40" t="s">
        <v>277</v>
      </c>
      <c r="E40" t="s">
        <v>278</v>
      </c>
      <c r="F40" t="s">
        <v>49</v>
      </c>
      <c r="G40" t="s">
        <v>15</v>
      </c>
      <c r="H40" t="s">
        <v>279</v>
      </c>
      <c r="I40" t="s">
        <v>280</v>
      </c>
    </row>
    <row r="41" spans="1:9" x14ac:dyDescent="0.4">
      <c r="A41" t="s">
        <v>301</v>
      </c>
      <c r="B41" t="s">
        <v>253</v>
      </c>
      <c r="C41" t="s">
        <v>11</v>
      </c>
      <c r="D41" t="s">
        <v>254</v>
      </c>
      <c r="E41" t="s">
        <v>255</v>
      </c>
      <c r="F41" t="s">
        <v>49</v>
      </c>
      <c r="G41" t="s">
        <v>15</v>
      </c>
      <c r="H41" t="s">
        <v>256</v>
      </c>
      <c r="I41" t="s">
        <v>257</v>
      </c>
    </row>
    <row r="42" spans="1:9" x14ac:dyDescent="0.4">
      <c r="A42" t="s">
        <v>302</v>
      </c>
      <c r="B42" t="s">
        <v>303</v>
      </c>
      <c r="C42" t="s">
        <v>11</v>
      </c>
      <c r="D42" t="s">
        <v>304</v>
      </c>
      <c r="E42" t="s">
        <v>305</v>
      </c>
      <c r="F42" t="s">
        <v>306</v>
      </c>
      <c r="G42" t="s">
        <v>89</v>
      </c>
      <c r="H42" t="s">
        <v>307</v>
      </c>
      <c r="I42" t="s">
        <v>308</v>
      </c>
    </row>
    <row r="43" spans="1:9" x14ac:dyDescent="0.4">
      <c r="A43" t="s">
        <v>309</v>
      </c>
      <c r="B43" t="s">
        <v>310</v>
      </c>
      <c r="C43" t="s">
        <v>11</v>
      </c>
      <c r="D43" t="s">
        <v>311</v>
      </c>
      <c r="E43" t="s">
        <v>312</v>
      </c>
      <c r="F43" t="s">
        <v>272</v>
      </c>
      <c r="G43" t="s">
        <v>89</v>
      </c>
      <c r="H43" t="s">
        <v>313</v>
      </c>
      <c r="I43" t="s">
        <v>314</v>
      </c>
    </row>
    <row r="44" spans="1:9" x14ac:dyDescent="0.4">
      <c r="A44" t="s">
        <v>315</v>
      </c>
      <c r="B44" t="s">
        <v>316</v>
      </c>
      <c r="C44" t="s">
        <v>11</v>
      </c>
      <c r="D44" t="s">
        <v>317</v>
      </c>
      <c r="E44" t="s">
        <v>318</v>
      </c>
      <c r="F44" t="s">
        <v>319</v>
      </c>
      <c r="G44" t="s">
        <v>15</v>
      </c>
      <c r="H44" t="s">
        <v>320</v>
      </c>
      <c r="I44" t="s">
        <v>321</v>
      </c>
    </row>
    <row r="45" spans="1:9" x14ac:dyDescent="0.4">
      <c r="A45" t="s">
        <v>322</v>
      </c>
      <c r="B45" t="s">
        <v>323</v>
      </c>
      <c r="C45" t="s">
        <v>11</v>
      </c>
      <c r="D45" t="s">
        <v>324</v>
      </c>
      <c r="E45" t="s">
        <v>325</v>
      </c>
      <c r="F45" t="s">
        <v>326</v>
      </c>
      <c r="G45" t="s">
        <v>89</v>
      </c>
      <c r="H45" t="s">
        <v>327</v>
      </c>
      <c r="I45" t="s">
        <v>328</v>
      </c>
    </row>
    <row r="46" spans="1:9" x14ac:dyDescent="0.4">
      <c r="A46" t="s">
        <v>329</v>
      </c>
      <c r="B46" t="s">
        <v>330</v>
      </c>
      <c r="C46" t="s">
        <v>11</v>
      </c>
      <c r="D46" t="s">
        <v>331</v>
      </c>
      <c r="E46" t="s">
        <v>332</v>
      </c>
      <c r="F46" t="s">
        <v>333</v>
      </c>
      <c r="G46" t="s">
        <v>89</v>
      </c>
      <c r="H46" t="s">
        <v>334</v>
      </c>
      <c r="I46" t="s">
        <v>335</v>
      </c>
    </row>
    <row r="47" spans="1:9" x14ac:dyDescent="0.4">
      <c r="A47" t="s">
        <v>336</v>
      </c>
      <c r="B47" t="s">
        <v>337</v>
      </c>
      <c r="C47" t="s">
        <v>11</v>
      </c>
      <c r="D47" t="s">
        <v>338</v>
      </c>
      <c r="E47" t="s">
        <v>339</v>
      </c>
      <c r="F47" t="s">
        <v>333</v>
      </c>
      <c r="G47" t="s">
        <v>89</v>
      </c>
      <c r="H47" t="s">
        <v>340</v>
      </c>
      <c r="I47" t="s">
        <v>341</v>
      </c>
    </row>
    <row r="48" spans="1:9" x14ac:dyDescent="0.4">
      <c r="A48" t="s">
        <v>342</v>
      </c>
      <c r="B48" t="s">
        <v>193</v>
      </c>
      <c r="C48" t="s">
        <v>11</v>
      </c>
      <c r="D48" t="s">
        <v>343</v>
      </c>
      <c r="E48" t="s">
        <v>344</v>
      </c>
      <c r="F48" t="s">
        <v>196</v>
      </c>
      <c r="G48" t="s">
        <v>15</v>
      </c>
      <c r="H48" t="s">
        <v>197</v>
      </c>
      <c r="I48" t="s">
        <v>198</v>
      </c>
    </row>
    <row r="49" spans="1:9" x14ac:dyDescent="0.4">
      <c r="A49" t="s">
        <v>345</v>
      </c>
      <c r="B49" t="s">
        <v>346</v>
      </c>
      <c r="C49" t="s">
        <v>11</v>
      </c>
      <c r="D49" t="s">
        <v>347</v>
      </c>
      <c r="E49" t="s">
        <v>348</v>
      </c>
      <c r="F49" t="s">
        <v>349</v>
      </c>
      <c r="G49" t="s">
        <v>15</v>
      </c>
      <c r="H49" t="s">
        <v>350</v>
      </c>
      <c r="I49" t="s">
        <v>351</v>
      </c>
    </row>
    <row r="50" spans="1:9" x14ac:dyDescent="0.4">
      <c r="A50" t="s">
        <v>352</v>
      </c>
      <c r="B50" t="s">
        <v>353</v>
      </c>
      <c r="C50" t="s">
        <v>11</v>
      </c>
      <c r="D50" t="s">
        <v>354</v>
      </c>
      <c r="E50" t="s">
        <v>355</v>
      </c>
      <c r="F50" t="s">
        <v>349</v>
      </c>
      <c r="G50" t="s">
        <v>15</v>
      </c>
      <c r="H50" t="s">
        <v>356</v>
      </c>
      <c r="I50" t="s">
        <v>357</v>
      </c>
    </row>
    <row r="51" spans="1:9" x14ac:dyDescent="0.4">
      <c r="A51" t="s">
        <v>358</v>
      </c>
      <c r="B51" t="s">
        <v>359</v>
      </c>
      <c r="C51" t="s">
        <v>79</v>
      </c>
      <c r="D51" t="s">
        <v>360</v>
      </c>
      <c r="E51" t="s">
        <v>361</v>
      </c>
      <c r="F51" t="s">
        <v>349</v>
      </c>
      <c r="G51" t="s">
        <v>15</v>
      </c>
      <c r="H51" t="s">
        <v>362</v>
      </c>
      <c r="I51" t="s">
        <v>363</v>
      </c>
    </row>
    <row r="52" spans="1:9" x14ac:dyDescent="0.4">
      <c r="A52" t="s">
        <v>364</v>
      </c>
      <c r="B52" t="s">
        <v>365</v>
      </c>
      <c r="C52" t="s">
        <v>11</v>
      </c>
      <c r="D52" t="s">
        <v>366</v>
      </c>
      <c r="E52" t="s">
        <v>367</v>
      </c>
      <c r="F52" t="s">
        <v>349</v>
      </c>
      <c r="G52" t="s">
        <v>15</v>
      </c>
      <c r="H52" t="s">
        <v>368</v>
      </c>
      <c r="I52" t="s">
        <v>369</v>
      </c>
    </row>
    <row r="53" spans="1:9" x14ac:dyDescent="0.4">
      <c r="A53" t="s">
        <v>370</v>
      </c>
      <c r="B53" t="s">
        <v>371</v>
      </c>
      <c r="C53" t="s">
        <v>11</v>
      </c>
      <c r="D53" t="s">
        <v>372</v>
      </c>
      <c r="E53" t="s">
        <v>373</v>
      </c>
      <c r="F53" t="s">
        <v>374</v>
      </c>
      <c r="G53" t="s">
        <v>15</v>
      </c>
      <c r="H53" t="s">
        <v>375</v>
      </c>
      <c r="I53" t="s">
        <v>376</v>
      </c>
    </row>
    <row r="54" spans="1:9" x14ac:dyDescent="0.4">
      <c r="A54" t="s">
        <v>384</v>
      </c>
      <c r="B54" t="s">
        <v>385</v>
      </c>
      <c r="C54" t="s">
        <v>11</v>
      </c>
      <c r="D54" t="s">
        <v>386</v>
      </c>
      <c r="E54" t="s">
        <v>387</v>
      </c>
      <c r="F54" t="s">
        <v>388</v>
      </c>
      <c r="G54" t="s">
        <v>15</v>
      </c>
      <c r="H54" t="s">
        <v>389</v>
      </c>
      <c r="I54" t="s">
        <v>390</v>
      </c>
    </row>
    <row r="55" spans="1:9" x14ac:dyDescent="0.4">
      <c r="A55" t="s">
        <v>391</v>
      </c>
      <c r="B55" t="s">
        <v>330</v>
      </c>
      <c r="C55" t="s">
        <v>11</v>
      </c>
      <c r="D55" t="s">
        <v>331</v>
      </c>
      <c r="E55" t="s">
        <v>392</v>
      </c>
      <c r="F55" t="s">
        <v>393</v>
      </c>
      <c r="G55" t="s">
        <v>89</v>
      </c>
      <c r="H55" t="s">
        <v>334</v>
      </c>
      <c r="I55" t="s">
        <v>335</v>
      </c>
    </row>
    <row r="56" spans="1:9" x14ac:dyDescent="0.4">
      <c r="A56" t="s">
        <v>394</v>
      </c>
      <c r="B56" t="s">
        <v>337</v>
      </c>
      <c r="C56" t="s">
        <v>11</v>
      </c>
      <c r="D56" t="s">
        <v>395</v>
      </c>
      <c r="E56" t="s">
        <v>396</v>
      </c>
      <c r="F56" t="s">
        <v>393</v>
      </c>
      <c r="G56" t="s">
        <v>89</v>
      </c>
      <c r="H56" t="s">
        <v>340</v>
      </c>
      <c r="I56" t="s">
        <v>341</v>
      </c>
    </row>
    <row r="57" spans="1:9" x14ac:dyDescent="0.4">
      <c r="A57" t="s">
        <v>397</v>
      </c>
      <c r="B57" t="s">
        <v>398</v>
      </c>
      <c r="C57" t="s">
        <v>11</v>
      </c>
      <c r="D57" t="s">
        <v>399</v>
      </c>
      <c r="E57" t="s">
        <v>400</v>
      </c>
      <c r="F57" t="s">
        <v>401</v>
      </c>
      <c r="G57" t="s">
        <v>15</v>
      </c>
      <c r="H57" t="s">
        <v>402</v>
      </c>
      <c r="I57" t="s">
        <v>403</v>
      </c>
    </row>
    <row r="58" spans="1:9" x14ac:dyDescent="0.4">
      <c r="A58" t="s">
        <v>404</v>
      </c>
      <c r="B58" t="s">
        <v>405</v>
      </c>
      <c r="C58" t="s">
        <v>79</v>
      </c>
      <c r="D58" t="s">
        <v>406</v>
      </c>
      <c r="E58" t="s">
        <v>407</v>
      </c>
      <c r="F58" t="s">
        <v>408</v>
      </c>
      <c r="G58" t="s">
        <v>15</v>
      </c>
      <c r="H58" t="s">
        <v>409</v>
      </c>
      <c r="I58" t="s">
        <v>410</v>
      </c>
    </row>
    <row r="59" spans="1:9" x14ac:dyDescent="0.4">
      <c r="A59" t="s">
        <v>411</v>
      </c>
      <c r="B59" t="s">
        <v>412</v>
      </c>
      <c r="C59" t="s">
        <v>11</v>
      </c>
      <c r="D59" t="s">
        <v>413</v>
      </c>
      <c r="E59" t="s">
        <v>414</v>
      </c>
      <c r="F59" t="s">
        <v>415</v>
      </c>
      <c r="G59" t="s">
        <v>15</v>
      </c>
      <c r="H59" t="s">
        <v>416</v>
      </c>
      <c r="I59" t="s">
        <v>417</v>
      </c>
    </row>
    <row r="60" spans="1:9" x14ac:dyDescent="0.4">
      <c r="A60" t="s">
        <v>418</v>
      </c>
      <c r="B60" t="s">
        <v>419</v>
      </c>
      <c r="C60" t="s">
        <v>79</v>
      </c>
      <c r="D60" t="s">
        <v>420</v>
      </c>
      <c r="E60" t="s">
        <v>421</v>
      </c>
      <c r="F60" t="s">
        <v>415</v>
      </c>
      <c r="G60" t="s">
        <v>15</v>
      </c>
      <c r="H60" t="s">
        <v>422</v>
      </c>
      <c r="I60" t="s">
        <v>423</v>
      </c>
    </row>
    <row r="61" spans="1:9" x14ac:dyDescent="0.4">
      <c r="A61" t="s">
        <v>424</v>
      </c>
      <c r="B61" t="s">
        <v>425</v>
      </c>
      <c r="C61" t="s">
        <v>11</v>
      </c>
      <c r="D61" t="s">
        <v>426</v>
      </c>
      <c r="E61" t="s">
        <v>427</v>
      </c>
      <c r="F61" t="s">
        <v>428</v>
      </c>
      <c r="G61" t="s">
        <v>15</v>
      </c>
      <c r="H61" t="s">
        <v>429</v>
      </c>
      <c r="I61" t="s">
        <v>430</v>
      </c>
    </row>
    <row r="62" spans="1:9" x14ac:dyDescent="0.4">
      <c r="A62" t="s">
        <v>431</v>
      </c>
      <c r="B62" t="s">
        <v>432</v>
      </c>
      <c r="C62" t="s">
        <v>79</v>
      </c>
      <c r="D62" t="s">
        <v>433</v>
      </c>
      <c r="E62" t="s">
        <v>434</v>
      </c>
      <c r="F62" t="s">
        <v>435</v>
      </c>
      <c r="G62" t="s">
        <v>15</v>
      </c>
      <c r="H62" t="s">
        <v>436</v>
      </c>
      <c r="I62" t="s">
        <v>437</v>
      </c>
    </row>
    <row r="63" spans="1:9" x14ac:dyDescent="0.4">
      <c r="A63" t="s">
        <v>438</v>
      </c>
      <c r="B63" t="s">
        <v>303</v>
      </c>
      <c r="C63" t="s">
        <v>11</v>
      </c>
      <c r="D63" t="s">
        <v>439</v>
      </c>
      <c r="E63" t="s">
        <v>440</v>
      </c>
      <c r="F63" t="s">
        <v>306</v>
      </c>
      <c r="G63" t="s">
        <v>89</v>
      </c>
      <c r="H63" t="s">
        <v>307</v>
      </c>
      <c r="I63" t="s">
        <v>308</v>
      </c>
    </row>
    <row r="64" spans="1:9" x14ac:dyDescent="0.4">
      <c r="A64" t="s">
        <v>441</v>
      </c>
      <c r="B64" t="s">
        <v>442</v>
      </c>
      <c r="C64" t="s">
        <v>11</v>
      </c>
      <c r="D64" t="s">
        <v>443</v>
      </c>
      <c r="E64" t="s">
        <v>444</v>
      </c>
      <c r="F64" t="s">
        <v>88</v>
      </c>
      <c r="G64" t="s">
        <v>89</v>
      </c>
      <c r="H64" t="s">
        <v>445</v>
      </c>
      <c r="I64" t="s">
        <v>446</v>
      </c>
    </row>
    <row r="65" spans="1:9" x14ac:dyDescent="0.4">
      <c r="A65" t="s">
        <v>447</v>
      </c>
      <c r="B65" t="s">
        <v>448</v>
      </c>
      <c r="C65" t="s">
        <v>11</v>
      </c>
      <c r="D65" t="s">
        <v>449</v>
      </c>
      <c r="E65" t="s">
        <v>450</v>
      </c>
      <c r="F65" t="s">
        <v>451</v>
      </c>
      <c r="G65" t="s">
        <v>15</v>
      </c>
      <c r="H65" t="s">
        <v>452</v>
      </c>
      <c r="I65" t="s">
        <v>453</v>
      </c>
    </row>
    <row r="66" spans="1:9" x14ac:dyDescent="0.4">
      <c r="A66" t="s">
        <v>454</v>
      </c>
      <c r="B66" t="s">
        <v>455</v>
      </c>
      <c r="C66" t="s">
        <v>11</v>
      </c>
      <c r="D66" t="s">
        <v>456</v>
      </c>
      <c r="E66" t="s">
        <v>457</v>
      </c>
      <c r="F66" t="s">
        <v>451</v>
      </c>
      <c r="G66" t="s">
        <v>15</v>
      </c>
      <c r="H66" t="s">
        <v>458</v>
      </c>
      <c r="I66" t="s">
        <v>459</v>
      </c>
    </row>
    <row r="67" spans="1:9" x14ac:dyDescent="0.4">
      <c r="A67" t="s">
        <v>460</v>
      </c>
      <c r="B67" t="s">
        <v>461</v>
      </c>
      <c r="C67" t="s">
        <v>11</v>
      </c>
      <c r="D67" t="s">
        <v>462</v>
      </c>
      <c r="E67" t="s">
        <v>463</v>
      </c>
      <c r="F67" t="s">
        <v>451</v>
      </c>
      <c r="G67" t="s">
        <v>15</v>
      </c>
      <c r="H67" t="s">
        <v>464</v>
      </c>
      <c r="I67" t="s">
        <v>465</v>
      </c>
    </row>
    <row r="68" spans="1:9" x14ac:dyDescent="0.4">
      <c r="A68" t="s">
        <v>466</v>
      </c>
      <c r="B68" t="s">
        <v>467</v>
      </c>
      <c r="C68" t="s">
        <v>11</v>
      </c>
      <c r="D68" t="s">
        <v>468</v>
      </c>
      <c r="E68" t="s">
        <v>469</v>
      </c>
      <c r="F68" t="s">
        <v>451</v>
      </c>
      <c r="G68" t="s">
        <v>15</v>
      </c>
      <c r="H68" t="s">
        <v>470</v>
      </c>
      <c r="I68" t="s">
        <v>471</v>
      </c>
    </row>
    <row r="69" spans="1:9" x14ac:dyDescent="0.4">
      <c r="A69" t="s">
        <v>472</v>
      </c>
      <c r="B69" t="s">
        <v>473</v>
      </c>
      <c r="C69" t="s">
        <v>11</v>
      </c>
      <c r="D69" t="s">
        <v>474</v>
      </c>
      <c r="E69" t="s">
        <v>475</v>
      </c>
      <c r="F69" t="s">
        <v>451</v>
      </c>
      <c r="G69" t="s">
        <v>89</v>
      </c>
      <c r="H69" t="s">
        <v>476</v>
      </c>
      <c r="I69" t="s">
        <v>477</v>
      </c>
    </row>
    <row r="70" spans="1:9" x14ac:dyDescent="0.4">
      <c r="A70" t="s">
        <v>653</v>
      </c>
      <c r="B70" t="s">
        <v>653</v>
      </c>
      <c r="C70" t="s">
        <v>79</v>
      </c>
      <c r="D70" t="s">
        <v>654</v>
      </c>
      <c r="E70" t="s">
        <v>655</v>
      </c>
      <c r="F70" t="s">
        <v>451</v>
      </c>
      <c r="G70" t="s">
        <v>15</v>
      </c>
      <c r="H70" t="s">
        <v>656</v>
      </c>
      <c r="I70" t="s">
        <v>657</v>
      </c>
    </row>
    <row r="71" spans="1:9" x14ac:dyDescent="0.4">
      <c r="A71" t="s">
        <v>478</v>
      </c>
      <c r="B71" t="s">
        <v>479</v>
      </c>
      <c r="C71" t="s">
        <v>79</v>
      </c>
      <c r="D71" t="s">
        <v>480</v>
      </c>
      <c r="E71" t="s">
        <v>481</v>
      </c>
      <c r="F71" t="s">
        <v>451</v>
      </c>
      <c r="G71" t="s">
        <v>15</v>
      </c>
      <c r="H71" t="s">
        <v>482</v>
      </c>
      <c r="I71" t="s">
        <v>483</v>
      </c>
    </row>
    <row r="72" spans="1:9" x14ac:dyDescent="0.4">
      <c r="A72" t="s">
        <v>484</v>
      </c>
      <c r="B72" t="s">
        <v>485</v>
      </c>
      <c r="C72" t="s">
        <v>486</v>
      </c>
      <c r="D72" t="s">
        <v>487</v>
      </c>
      <c r="E72" t="s">
        <v>488</v>
      </c>
      <c r="F72" t="s">
        <v>489</v>
      </c>
      <c r="G72" t="s">
        <v>15</v>
      </c>
      <c r="H72" t="s">
        <v>490</v>
      </c>
      <c r="I72" t="s">
        <v>491</v>
      </c>
    </row>
    <row r="73" spans="1:9" x14ac:dyDescent="0.4">
      <c r="A73" t="s">
        <v>492</v>
      </c>
      <c r="B73" t="s">
        <v>493</v>
      </c>
      <c r="C73" t="s">
        <v>79</v>
      </c>
      <c r="D73" t="s">
        <v>494</v>
      </c>
      <c r="E73" t="s">
        <v>495</v>
      </c>
      <c r="F73" t="s">
        <v>451</v>
      </c>
      <c r="G73" t="s">
        <v>15</v>
      </c>
      <c r="H73" t="s">
        <v>496</v>
      </c>
      <c r="I73" t="s">
        <v>497</v>
      </c>
    </row>
    <row r="74" spans="1:9" x14ac:dyDescent="0.4">
      <c r="A74" t="s">
        <v>498</v>
      </c>
      <c r="B74" t="s">
        <v>455</v>
      </c>
      <c r="C74" t="s">
        <v>11</v>
      </c>
      <c r="D74" t="s">
        <v>499</v>
      </c>
      <c r="E74" t="s">
        <v>500</v>
      </c>
      <c r="F74" t="s">
        <v>451</v>
      </c>
      <c r="G74" t="s">
        <v>15</v>
      </c>
      <c r="H74" t="s">
        <v>458</v>
      </c>
      <c r="I74" t="s">
        <v>459</v>
      </c>
    </row>
    <row r="75" spans="1:9" x14ac:dyDescent="0.4">
      <c r="A75" t="s">
        <v>501</v>
      </c>
      <c r="B75" t="s">
        <v>502</v>
      </c>
      <c r="C75" t="s">
        <v>11</v>
      </c>
      <c r="D75" t="s">
        <v>503</v>
      </c>
      <c r="E75" t="s">
        <v>504</v>
      </c>
      <c r="F75" t="s">
        <v>451</v>
      </c>
      <c r="G75" t="s">
        <v>89</v>
      </c>
      <c r="H75" t="s">
        <v>505</v>
      </c>
      <c r="I75" t="s">
        <v>506</v>
      </c>
    </row>
    <row r="76" spans="1:9" x14ac:dyDescent="0.4">
      <c r="A76" t="s">
        <v>513</v>
      </c>
      <c r="B76" t="s">
        <v>514</v>
      </c>
      <c r="C76" t="s">
        <v>11</v>
      </c>
      <c r="D76" t="s">
        <v>515</v>
      </c>
      <c r="E76" t="s">
        <v>516</v>
      </c>
      <c r="F76" t="s">
        <v>451</v>
      </c>
      <c r="G76" t="s">
        <v>15</v>
      </c>
      <c r="H76" t="s">
        <v>517</v>
      </c>
      <c r="I76" t="s">
        <v>518</v>
      </c>
    </row>
    <row r="77" spans="1:9" x14ac:dyDescent="0.4">
      <c r="A77" t="s">
        <v>525</v>
      </c>
      <c r="B77" t="s">
        <v>526</v>
      </c>
      <c r="C77" t="s">
        <v>11</v>
      </c>
      <c r="D77" t="s">
        <v>527</v>
      </c>
      <c r="E77" t="s">
        <v>528</v>
      </c>
      <c r="F77" t="s">
        <v>451</v>
      </c>
      <c r="G77" t="s">
        <v>15</v>
      </c>
      <c r="H77" t="s">
        <v>529</v>
      </c>
      <c r="I77" t="s">
        <v>530</v>
      </c>
    </row>
    <row r="78" spans="1:9" x14ac:dyDescent="0.4">
      <c r="A78" t="s">
        <v>531</v>
      </c>
      <c r="B78" t="s">
        <v>532</v>
      </c>
      <c r="C78" t="s">
        <v>11</v>
      </c>
      <c r="D78" t="s">
        <v>533</v>
      </c>
      <c r="E78" t="s">
        <v>534</v>
      </c>
      <c r="F78" t="s">
        <v>451</v>
      </c>
      <c r="G78" t="s">
        <v>15</v>
      </c>
      <c r="H78" t="s">
        <v>535</v>
      </c>
      <c r="I78" t="s">
        <v>536</v>
      </c>
    </row>
    <row r="79" spans="1:9" x14ac:dyDescent="0.4">
      <c r="A79" t="s">
        <v>537</v>
      </c>
      <c r="B79" t="s">
        <v>538</v>
      </c>
      <c r="C79" t="s">
        <v>11</v>
      </c>
      <c r="D79" t="s">
        <v>539</v>
      </c>
      <c r="E79" t="s">
        <v>540</v>
      </c>
      <c r="F79" t="s">
        <v>451</v>
      </c>
      <c r="G79" t="s">
        <v>15</v>
      </c>
      <c r="H79" t="s">
        <v>541</v>
      </c>
      <c r="I79" t="s">
        <v>542</v>
      </c>
    </row>
    <row r="80" spans="1:9" x14ac:dyDescent="0.4">
      <c r="A80" t="s">
        <v>658</v>
      </c>
      <c r="B80" t="s">
        <v>658</v>
      </c>
      <c r="C80" t="s">
        <v>79</v>
      </c>
      <c r="D80" t="s">
        <v>659</v>
      </c>
      <c r="E80" t="s">
        <v>660</v>
      </c>
      <c r="F80" t="s">
        <v>451</v>
      </c>
      <c r="G80" t="s">
        <v>15</v>
      </c>
      <c r="H80" t="s">
        <v>661</v>
      </c>
      <c r="I80" t="s">
        <v>662</v>
      </c>
    </row>
    <row r="81" spans="1:9" x14ac:dyDescent="0.4">
      <c r="A81" t="s">
        <v>543</v>
      </c>
      <c r="B81" t="s">
        <v>544</v>
      </c>
      <c r="C81" t="s">
        <v>11</v>
      </c>
      <c r="D81" t="s">
        <v>545</v>
      </c>
      <c r="E81" t="s">
        <v>546</v>
      </c>
      <c r="F81" t="s">
        <v>451</v>
      </c>
      <c r="G81" t="s">
        <v>15</v>
      </c>
      <c r="H81" t="s">
        <v>547</v>
      </c>
      <c r="I81" t="s">
        <v>548</v>
      </c>
    </row>
    <row r="82" spans="1:9" x14ac:dyDescent="0.4">
      <c r="A82" t="s">
        <v>561</v>
      </c>
      <c r="B82" t="s">
        <v>461</v>
      </c>
      <c r="C82" t="s">
        <v>11</v>
      </c>
      <c r="D82" t="s">
        <v>562</v>
      </c>
      <c r="E82" t="s">
        <v>563</v>
      </c>
      <c r="F82" t="s">
        <v>451</v>
      </c>
      <c r="G82" t="s">
        <v>15</v>
      </c>
      <c r="H82" t="s">
        <v>464</v>
      </c>
      <c r="I82" t="s">
        <v>465</v>
      </c>
    </row>
    <row r="83" spans="1:9" x14ac:dyDescent="0.4">
      <c r="A83" t="s">
        <v>564</v>
      </c>
      <c r="B83" t="s">
        <v>467</v>
      </c>
      <c r="C83" t="s">
        <v>11</v>
      </c>
      <c r="D83" t="s">
        <v>565</v>
      </c>
      <c r="E83" t="s">
        <v>566</v>
      </c>
      <c r="F83" t="s">
        <v>451</v>
      </c>
      <c r="G83" t="s">
        <v>15</v>
      </c>
      <c r="H83" t="s">
        <v>470</v>
      </c>
      <c r="I83" t="s">
        <v>471</v>
      </c>
    </row>
    <row r="84" spans="1:9" x14ac:dyDescent="0.4">
      <c r="A84" t="s">
        <v>173</v>
      </c>
      <c r="B84" t="s">
        <v>567</v>
      </c>
      <c r="C84" t="s">
        <v>79</v>
      </c>
      <c r="D84" t="s">
        <v>568</v>
      </c>
      <c r="E84" t="s">
        <v>569</v>
      </c>
      <c r="F84" t="s">
        <v>451</v>
      </c>
      <c r="G84" t="s">
        <v>15</v>
      </c>
      <c r="H84" t="s">
        <v>570</v>
      </c>
      <c r="I84" t="s">
        <v>571</v>
      </c>
    </row>
    <row r="85" spans="1:9" x14ac:dyDescent="0.4">
      <c r="A85" t="s">
        <v>572</v>
      </c>
      <c r="B85" t="s">
        <v>573</v>
      </c>
      <c r="C85" t="s">
        <v>486</v>
      </c>
      <c r="D85" t="s">
        <v>574</v>
      </c>
      <c r="E85" t="s">
        <v>575</v>
      </c>
      <c r="F85" t="s">
        <v>489</v>
      </c>
      <c r="G85" t="s">
        <v>15</v>
      </c>
      <c r="H85" t="s">
        <v>576</v>
      </c>
      <c r="I85" t="s">
        <v>577</v>
      </c>
    </row>
    <row r="86" spans="1:9" x14ac:dyDescent="0.4">
      <c r="A86" t="s">
        <v>578</v>
      </c>
      <c r="B86" t="s">
        <v>579</v>
      </c>
      <c r="C86" t="s">
        <v>486</v>
      </c>
      <c r="D86" t="s">
        <v>580</v>
      </c>
      <c r="E86" t="s">
        <v>581</v>
      </c>
      <c r="F86" t="s">
        <v>489</v>
      </c>
      <c r="G86" t="s">
        <v>15</v>
      </c>
      <c r="H86" t="s">
        <v>582</v>
      </c>
      <c r="I86" t="s">
        <v>583</v>
      </c>
    </row>
    <row r="87" spans="1:9" x14ac:dyDescent="0.4">
      <c r="A87" t="s">
        <v>584</v>
      </c>
      <c r="B87" t="s">
        <v>585</v>
      </c>
      <c r="C87" t="s">
        <v>486</v>
      </c>
      <c r="D87" t="s">
        <v>586</v>
      </c>
      <c r="E87" t="s">
        <v>587</v>
      </c>
      <c r="F87" t="s">
        <v>489</v>
      </c>
      <c r="G87" t="s">
        <v>15</v>
      </c>
      <c r="H87" t="s">
        <v>588</v>
      </c>
      <c r="I87" t="s">
        <v>589</v>
      </c>
    </row>
    <row r="88" spans="1:9" x14ac:dyDescent="0.4">
      <c r="A88" t="s">
        <v>590</v>
      </c>
      <c r="B88" t="s">
        <v>591</v>
      </c>
      <c r="C88" t="s">
        <v>486</v>
      </c>
      <c r="D88" t="s">
        <v>592</v>
      </c>
      <c r="E88" t="s">
        <v>593</v>
      </c>
      <c r="F88" t="s">
        <v>489</v>
      </c>
      <c r="G88" t="s">
        <v>15</v>
      </c>
      <c r="H88" t="s">
        <v>594</v>
      </c>
      <c r="I88" t="s">
        <v>595</v>
      </c>
    </row>
    <row r="89" spans="1:9" x14ac:dyDescent="0.4">
      <c r="A89" t="s">
        <v>596</v>
      </c>
      <c r="B89" t="s">
        <v>597</v>
      </c>
      <c r="C89" t="s">
        <v>486</v>
      </c>
      <c r="D89" t="s">
        <v>598</v>
      </c>
      <c r="E89" t="s">
        <v>599</v>
      </c>
      <c r="F89" t="s">
        <v>489</v>
      </c>
      <c r="G89" t="s">
        <v>15</v>
      </c>
      <c r="H89" t="s">
        <v>600</v>
      </c>
      <c r="I89" t="s">
        <v>601</v>
      </c>
    </row>
    <row r="90" spans="1:9" x14ac:dyDescent="0.4">
      <c r="A90" t="s">
        <v>602</v>
      </c>
      <c r="B90" t="s">
        <v>603</v>
      </c>
      <c r="C90" t="s">
        <v>486</v>
      </c>
      <c r="D90" t="s">
        <v>604</v>
      </c>
      <c r="E90" t="s">
        <v>605</v>
      </c>
      <c r="F90" t="s">
        <v>489</v>
      </c>
      <c r="G90" t="s">
        <v>15</v>
      </c>
      <c r="H90" t="s">
        <v>606</v>
      </c>
      <c r="I90" t="s">
        <v>607</v>
      </c>
    </row>
    <row r="91" spans="1:9" x14ac:dyDescent="0.4">
      <c r="A91" t="s">
        <v>608</v>
      </c>
      <c r="B91" t="s">
        <v>609</v>
      </c>
      <c r="C91" t="s">
        <v>486</v>
      </c>
      <c r="D91" t="s">
        <v>610</v>
      </c>
      <c r="E91" t="s">
        <v>611</v>
      </c>
      <c r="F91" t="s">
        <v>489</v>
      </c>
      <c r="G91" t="s">
        <v>15</v>
      </c>
      <c r="H91" t="s">
        <v>612</v>
      </c>
      <c r="I91" t="s">
        <v>613</v>
      </c>
    </row>
    <row r="92" spans="1:9" x14ac:dyDescent="0.4">
      <c r="A92" t="s">
        <v>614</v>
      </c>
      <c r="B92" t="s">
        <v>615</v>
      </c>
      <c r="C92" t="s">
        <v>486</v>
      </c>
      <c r="D92" t="s">
        <v>616</v>
      </c>
      <c r="E92" t="s">
        <v>617</v>
      </c>
      <c r="F92" t="s">
        <v>489</v>
      </c>
      <c r="G92" t="s">
        <v>15</v>
      </c>
      <c r="H92" t="s">
        <v>618</v>
      </c>
      <c r="I92" t="s">
        <v>619</v>
      </c>
    </row>
    <row r="93" spans="1:9" x14ac:dyDescent="0.4">
      <c r="A93" t="s">
        <v>620</v>
      </c>
      <c r="B93" t="s">
        <v>621</v>
      </c>
      <c r="C93" t="s">
        <v>486</v>
      </c>
      <c r="D93" t="s">
        <v>622</v>
      </c>
      <c r="E93" t="s">
        <v>623</v>
      </c>
      <c r="F93" t="s">
        <v>489</v>
      </c>
      <c r="G93" t="s">
        <v>15</v>
      </c>
      <c r="H93" t="s">
        <v>624</v>
      </c>
      <c r="I93" t="s">
        <v>625</v>
      </c>
    </row>
    <row r="94" spans="1:9" x14ac:dyDescent="0.4">
      <c r="A94" t="s">
        <v>626</v>
      </c>
      <c r="B94" t="s">
        <v>627</v>
      </c>
      <c r="C94" t="s">
        <v>486</v>
      </c>
      <c r="D94" t="s">
        <v>628</v>
      </c>
      <c r="E94" t="s">
        <v>629</v>
      </c>
      <c r="F94" t="s">
        <v>489</v>
      </c>
      <c r="G94" t="s">
        <v>15</v>
      </c>
      <c r="H94" t="s">
        <v>630</v>
      </c>
      <c r="I94" t="s">
        <v>631</v>
      </c>
    </row>
    <row r="95" spans="1:9" x14ac:dyDescent="0.4">
      <c r="A95" t="s">
        <v>632</v>
      </c>
      <c r="B95" t="s">
        <v>633</v>
      </c>
      <c r="C95" t="s">
        <v>486</v>
      </c>
      <c r="D95" t="s">
        <v>634</v>
      </c>
      <c r="E95" t="s">
        <v>635</v>
      </c>
      <c r="F95" t="s">
        <v>636</v>
      </c>
      <c r="G95" t="s">
        <v>15</v>
      </c>
      <c r="H95" t="s">
        <v>637</v>
      </c>
      <c r="I95" t="s">
        <v>638</v>
      </c>
    </row>
    <row r="96" spans="1:9" x14ac:dyDescent="0.4">
      <c r="A96" t="s">
        <v>639</v>
      </c>
      <c r="B96" t="s">
        <v>639</v>
      </c>
      <c r="C96" t="s">
        <v>486</v>
      </c>
      <c r="D96" t="s">
        <v>640</v>
      </c>
      <c r="E96" t="s">
        <v>641</v>
      </c>
      <c r="F96" t="s">
        <v>489</v>
      </c>
      <c r="G96" t="s">
        <v>15</v>
      </c>
      <c r="H96" t="s">
        <v>642</v>
      </c>
      <c r="I96" t="s">
        <v>643</v>
      </c>
    </row>
    <row r="97" spans="1:9" x14ac:dyDescent="0.4">
      <c r="A97" t="s">
        <v>663</v>
      </c>
      <c r="B97" t="s">
        <v>664</v>
      </c>
      <c r="C97" t="s">
        <v>663</v>
      </c>
      <c r="D97" t="s">
        <v>665</v>
      </c>
      <c r="E97" t="s">
        <v>666</v>
      </c>
      <c r="F97" t="s">
        <v>14</v>
      </c>
      <c r="G97" t="b">
        <v>0</v>
      </c>
      <c r="H97" t="s">
        <v>667</v>
      </c>
      <c r="I97" t="s">
        <v>668</v>
      </c>
    </row>
    <row r="98" spans="1:9" x14ac:dyDescent="0.4">
      <c r="A98" t="s">
        <v>287</v>
      </c>
      <c r="B98" t="s">
        <v>288</v>
      </c>
      <c r="C98" t="s">
        <v>11</v>
      </c>
      <c r="D98" t="s">
        <v>671</v>
      </c>
      <c r="E98" t="s">
        <v>672</v>
      </c>
      <c r="F98" t="s">
        <v>673</v>
      </c>
      <c r="G98" t="b">
        <v>0</v>
      </c>
      <c r="H98" t="s">
        <v>292</v>
      </c>
      <c r="I98" t="s">
        <v>293</v>
      </c>
    </row>
    <row r="99" spans="1:9" x14ac:dyDescent="0.4">
      <c r="A99" t="s">
        <v>206</v>
      </c>
      <c r="B99" t="s">
        <v>207</v>
      </c>
      <c r="C99" t="s">
        <v>11</v>
      </c>
      <c r="D99" t="s">
        <v>674</v>
      </c>
      <c r="E99" t="s">
        <v>675</v>
      </c>
      <c r="F99" t="s">
        <v>14</v>
      </c>
      <c r="G99" t="b">
        <v>0</v>
      </c>
      <c r="H99" t="s">
        <v>210</v>
      </c>
      <c r="I99" t="s">
        <v>211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8176E-4180-4E68-BD21-6A75123FCECF}">
  <dimension ref="A1:L32"/>
  <sheetViews>
    <sheetView tabSelected="1" topLeftCell="H1" workbookViewId="0">
      <pane ySplit="1" topLeftCell="A2" activePane="bottomLeft" state="frozen"/>
      <selection pane="bottomLeft" activeCell="L2" sqref="L2"/>
    </sheetView>
  </sheetViews>
  <sheetFormatPr baseColWidth="10" defaultRowHeight="14.6" x14ac:dyDescent="0.4"/>
  <cols>
    <col min="1" max="1" width="26.61328125" bestFit="1" customWidth="1"/>
    <col min="2" max="2" width="21.84375" bestFit="1" customWidth="1"/>
    <col min="3" max="3" width="4.4609375" bestFit="1" customWidth="1"/>
    <col min="4" max="4" width="234.3046875" bestFit="1" customWidth="1"/>
    <col min="5" max="5" width="128.53515625" bestFit="1" customWidth="1"/>
    <col min="6" max="6" width="20.15234375" bestFit="1" customWidth="1"/>
    <col min="7" max="7" width="7.765625" bestFit="1" customWidth="1"/>
    <col min="8" max="8" width="25.84375" bestFit="1" customWidth="1"/>
    <col min="9" max="9" width="23.4609375" bestFit="1" customWidth="1"/>
    <col min="10" max="10" width="26.61328125" bestFit="1" customWidth="1"/>
  </cols>
  <sheetData>
    <row r="1" spans="1:12" x14ac:dyDescent="0.4">
      <c r="A1" s="1" t="s">
        <v>0</v>
      </c>
      <c r="B1" s="1" t="s">
        <v>1</v>
      </c>
      <c r="C1" s="1" t="s">
        <v>2</v>
      </c>
      <c r="D1" s="1" t="s">
        <v>3</v>
      </c>
      <c r="E1" s="1" t="s">
        <v>4</v>
      </c>
      <c r="F1" s="1" t="s">
        <v>5</v>
      </c>
      <c r="G1" s="1" t="s">
        <v>6</v>
      </c>
      <c r="H1" s="1" t="s">
        <v>7</v>
      </c>
      <c r="I1" s="1" t="s">
        <v>8</v>
      </c>
      <c r="J1" s="1" t="s">
        <v>0</v>
      </c>
      <c r="K1" s="1" t="s">
        <v>644</v>
      </c>
    </row>
    <row r="2" spans="1:12" x14ac:dyDescent="0.4">
      <c r="A2" t="s">
        <v>153</v>
      </c>
      <c r="B2" t="s">
        <v>154</v>
      </c>
      <c r="C2" t="s">
        <v>11</v>
      </c>
      <c r="D2" t="s">
        <v>155</v>
      </c>
      <c r="E2" t="s">
        <v>156</v>
      </c>
      <c r="F2" t="s">
        <v>110</v>
      </c>
      <c r="G2" t="b">
        <v>0</v>
      </c>
      <c r="H2" t="s">
        <v>157</v>
      </c>
      <c r="I2" t="s">
        <v>158</v>
      </c>
      <c r="J2" t="s">
        <v>153</v>
      </c>
      <c r="K2">
        <v>1</v>
      </c>
      <c r="L2" t="str">
        <f>IFERROR(_xlfn.XLOOKUP(J2,feature_catalog!A:A,feature_catalog!A:A),"")</f>
        <v>accuratePasses</v>
      </c>
    </row>
    <row r="3" spans="1:12" x14ac:dyDescent="0.4">
      <c r="A3" t="s">
        <v>159</v>
      </c>
      <c r="B3" t="s">
        <v>160</v>
      </c>
      <c r="C3" t="s">
        <v>79</v>
      </c>
      <c r="D3" t="s">
        <v>161</v>
      </c>
      <c r="E3" t="s">
        <v>162</v>
      </c>
      <c r="F3" t="s">
        <v>163</v>
      </c>
      <c r="G3" t="b">
        <v>0</v>
      </c>
      <c r="H3" t="s">
        <v>164</v>
      </c>
      <c r="I3" t="s">
        <v>165</v>
      </c>
      <c r="J3" t="s">
        <v>159</v>
      </c>
      <c r="L3" t="str">
        <f>IFERROR(_xlfn.XLOOKUP(J3,feature_catalog!A:A,feature_catalog!A:A),"")</f>
        <v>accuratePassesPercentage</v>
      </c>
    </row>
    <row r="4" spans="1:12" x14ac:dyDescent="0.4">
      <c r="A4" t="s">
        <v>166</v>
      </c>
      <c r="B4" t="s">
        <v>167</v>
      </c>
      <c r="C4" t="s">
        <v>11</v>
      </c>
      <c r="D4" t="s">
        <v>168</v>
      </c>
      <c r="E4" t="s">
        <v>169</v>
      </c>
      <c r="F4" t="s">
        <v>170</v>
      </c>
      <c r="G4" t="b">
        <v>0</v>
      </c>
      <c r="H4" t="s">
        <v>171</v>
      </c>
      <c r="I4" t="s">
        <v>172</v>
      </c>
      <c r="J4" t="s">
        <v>166</v>
      </c>
      <c r="L4" t="str">
        <f>IFERROR(_xlfn.XLOOKUP(J4,feature_catalog!A:A,feature_catalog!A:A),"")</f>
        <v>accurateLongBalls</v>
      </c>
    </row>
    <row r="5" spans="1:12" x14ac:dyDescent="0.4">
      <c r="A5" t="s">
        <v>173</v>
      </c>
      <c r="B5" t="s">
        <v>174</v>
      </c>
      <c r="C5" t="s">
        <v>79</v>
      </c>
      <c r="D5" t="s">
        <v>175</v>
      </c>
      <c r="E5" t="s">
        <v>176</v>
      </c>
      <c r="F5" t="s">
        <v>170</v>
      </c>
      <c r="G5" t="b">
        <v>0</v>
      </c>
      <c r="H5" t="s">
        <v>177</v>
      </c>
      <c r="I5" t="s">
        <v>178</v>
      </c>
      <c r="J5" t="s">
        <v>173</v>
      </c>
      <c r="K5">
        <v>1</v>
      </c>
      <c r="L5" t="str">
        <f>IFERROR(_xlfn.XLOOKUP(J5,feature_catalog!A:A,feature_catalog!A:A),"")</f>
        <v>accurateLongBallsPercentage</v>
      </c>
    </row>
    <row r="6" spans="1:12" x14ac:dyDescent="0.4">
      <c r="A6" t="s">
        <v>329</v>
      </c>
      <c r="B6" t="s">
        <v>330</v>
      </c>
      <c r="C6" t="s">
        <v>11</v>
      </c>
      <c r="D6" t="s">
        <v>331</v>
      </c>
      <c r="E6" t="s">
        <v>332</v>
      </c>
      <c r="F6" t="s">
        <v>333</v>
      </c>
      <c r="G6" t="b">
        <v>1</v>
      </c>
      <c r="H6" t="s">
        <v>334</v>
      </c>
      <c r="I6" t="s">
        <v>335</v>
      </c>
      <c r="J6" t="s">
        <v>329</v>
      </c>
      <c r="L6" t="str">
        <f>IFERROR(_xlfn.XLOOKUP(J6,feature_catalog!A:A,feature_catalog!A:A),"")</f>
        <v>errorLeadToGoal</v>
      </c>
    </row>
    <row r="7" spans="1:12" x14ac:dyDescent="0.4">
      <c r="A7" t="s">
        <v>336</v>
      </c>
      <c r="B7" t="s">
        <v>337</v>
      </c>
      <c r="C7" t="s">
        <v>11</v>
      </c>
      <c r="D7" t="s">
        <v>338</v>
      </c>
      <c r="E7" t="s">
        <v>339</v>
      </c>
      <c r="F7" t="s">
        <v>333</v>
      </c>
      <c r="G7" t="b">
        <v>1</v>
      </c>
      <c r="H7" t="s">
        <v>340</v>
      </c>
      <c r="I7" t="s">
        <v>341</v>
      </c>
      <c r="J7" t="s">
        <v>336</v>
      </c>
      <c r="K7">
        <v>3</v>
      </c>
      <c r="L7" t="str">
        <f>IFERROR(_xlfn.XLOOKUP(J7,feature_catalog!A:A,feature_catalog!A:A),"")</f>
        <v>errorLeadToShot</v>
      </c>
    </row>
    <row r="8" spans="1:12" x14ac:dyDescent="0.4">
      <c r="A8" t="s">
        <v>377</v>
      </c>
      <c r="B8" t="s">
        <v>378</v>
      </c>
      <c r="C8" t="s">
        <v>11</v>
      </c>
      <c r="D8" t="s">
        <v>379</v>
      </c>
      <c r="E8" t="s">
        <v>380</v>
      </c>
      <c r="F8" t="s">
        <v>381</v>
      </c>
      <c r="G8" t="b">
        <v>0</v>
      </c>
      <c r="H8" t="s">
        <v>382</v>
      </c>
      <c r="I8" t="s">
        <v>383</v>
      </c>
      <c r="J8" t="s">
        <v>377</v>
      </c>
      <c r="L8" t="str">
        <f>IFERROR(_xlfn.XLOOKUP(J8,feature_catalog!A:A,feature_catalog!A:A),"")</f>
        <v/>
      </c>
    </row>
    <row r="9" spans="1:12" x14ac:dyDescent="0.4">
      <c r="A9" t="s">
        <v>447</v>
      </c>
      <c r="B9" t="s">
        <v>448</v>
      </c>
      <c r="C9" t="s">
        <v>11</v>
      </c>
      <c r="D9" t="s">
        <v>449</v>
      </c>
      <c r="E9" t="s">
        <v>450</v>
      </c>
      <c r="F9" t="s">
        <v>451</v>
      </c>
      <c r="G9" t="b">
        <v>0</v>
      </c>
      <c r="H9" t="s">
        <v>452</v>
      </c>
      <c r="I9" t="s">
        <v>453</v>
      </c>
      <c r="J9" t="s">
        <v>447</v>
      </c>
      <c r="L9" t="str">
        <f>IFERROR(_xlfn.XLOOKUP(J9,feature_catalog!A:A,feature_catalog!A:A),"")</f>
        <v>saves</v>
      </c>
    </row>
    <row r="10" spans="1:12" x14ac:dyDescent="0.4">
      <c r="A10" t="s">
        <v>454</v>
      </c>
      <c r="B10" t="s">
        <v>455</v>
      </c>
      <c r="C10" t="s">
        <v>11</v>
      </c>
      <c r="D10" t="s">
        <v>456</v>
      </c>
      <c r="E10" t="s">
        <v>457</v>
      </c>
      <c r="F10" t="s">
        <v>451</v>
      </c>
      <c r="G10" t="b">
        <v>0</v>
      </c>
      <c r="H10" t="s">
        <v>458</v>
      </c>
      <c r="I10" t="s">
        <v>459</v>
      </c>
      <c r="J10" t="s">
        <v>454</v>
      </c>
      <c r="L10" t="str">
        <f>IFERROR(_xlfn.XLOOKUP(J10,feature_catalog!A:A,feature_catalog!A:A),"")</f>
        <v>cleanSheet</v>
      </c>
    </row>
    <row r="11" spans="1:12" x14ac:dyDescent="0.4">
      <c r="A11" t="s">
        <v>460</v>
      </c>
      <c r="B11" t="s">
        <v>461</v>
      </c>
      <c r="C11" t="s">
        <v>11</v>
      </c>
      <c r="D11" t="s">
        <v>462</v>
      </c>
      <c r="E11" t="s">
        <v>463</v>
      </c>
      <c r="F11" t="s">
        <v>451</v>
      </c>
      <c r="G11" t="b">
        <v>0</v>
      </c>
      <c r="H11" t="s">
        <v>464</v>
      </c>
      <c r="I11" t="s">
        <v>465</v>
      </c>
      <c r="J11" t="s">
        <v>460</v>
      </c>
      <c r="L11" t="str">
        <f>IFERROR(_xlfn.XLOOKUP(J11,feature_catalog!A:A,feature_catalog!A:A),"")</f>
        <v>savedShotsFromInsideTheBox</v>
      </c>
    </row>
    <row r="12" spans="1:12" x14ac:dyDescent="0.4">
      <c r="A12" t="s">
        <v>466</v>
      </c>
      <c r="B12" t="s">
        <v>467</v>
      </c>
      <c r="C12" t="s">
        <v>11</v>
      </c>
      <c r="D12" t="s">
        <v>468</v>
      </c>
      <c r="E12" t="s">
        <v>469</v>
      </c>
      <c r="F12" t="s">
        <v>451</v>
      </c>
      <c r="G12" t="b">
        <v>0</v>
      </c>
      <c r="H12" t="s">
        <v>470</v>
      </c>
      <c r="I12" t="s">
        <v>471</v>
      </c>
      <c r="J12" t="s">
        <v>466</v>
      </c>
      <c r="L12" t="str">
        <f>IFERROR(_xlfn.XLOOKUP(J12,feature_catalog!A:A,feature_catalog!A:A),"")</f>
        <v>savedShotsFromOutsideTheBox</v>
      </c>
    </row>
    <row r="13" spans="1:12" x14ac:dyDescent="0.4">
      <c r="A13" t="s">
        <v>472</v>
      </c>
      <c r="B13" t="s">
        <v>473</v>
      </c>
      <c r="C13" t="s">
        <v>11</v>
      </c>
      <c r="D13" t="s">
        <v>474</v>
      </c>
      <c r="E13" t="s">
        <v>475</v>
      </c>
      <c r="F13" t="s">
        <v>451</v>
      </c>
      <c r="G13" t="b">
        <v>1</v>
      </c>
      <c r="H13" t="s">
        <v>476</v>
      </c>
      <c r="I13" t="s">
        <v>477</v>
      </c>
      <c r="J13" t="s">
        <v>472</v>
      </c>
      <c r="L13" t="str">
        <f>IFERROR(_xlfn.XLOOKUP(J13,feature_catalog!A:A,feature_catalog!A:A),"")</f>
        <v>crossesNotClaimed</v>
      </c>
    </row>
    <row r="14" spans="1:12" x14ac:dyDescent="0.4">
      <c r="A14" t="s">
        <v>478</v>
      </c>
      <c r="B14" t="s">
        <v>479</v>
      </c>
      <c r="C14" t="s">
        <v>79</v>
      </c>
      <c r="D14" t="s">
        <v>480</v>
      </c>
      <c r="E14" t="s">
        <v>481</v>
      </c>
      <c r="F14" t="s">
        <v>451</v>
      </c>
      <c r="G14" t="b">
        <v>0</v>
      </c>
      <c r="H14" t="s">
        <v>482</v>
      </c>
      <c r="I14" t="s">
        <v>483</v>
      </c>
      <c r="J14" t="s">
        <v>478</v>
      </c>
      <c r="K14">
        <v>2</v>
      </c>
      <c r="L14" t="str">
        <f>IFERROR(_xlfn.XLOOKUP(J14,feature_catalog!A:A,feature_catalog!A:A),"")</f>
        <v>_penalty_save_pct</v>
      </c>
    </row>
    <row r="15" spans="1:12" x14ac:dyDescent="0.4">
      <c r="A15" t="s">
        <v>484</v>
      </c>
      <c r="B15" t="s">
        <v>485</v>
      </c>
      <c r="C15" t="s">
        <v>486</v>
      </c>
      <c r="D15" t="s">
        <v>487</v>
      </c>
      <c r="E15" t="s">
        <v>488</v>
      </c>
      <c r="F15" t="s">
        <v>489</v>
      </c>
      <c r="G15" t="b">
        <v>0</v>
      </c>
      <c r="H15" t="s">
        <v>490</v>
      </c>
      <c r="I15" t="s">
        <v>491</v>
      </c>
      <c r="J15" t="s">
        <v>484</v>
      </c>
      <c r="L15" t="str">
        <f>IFERROR(_xlfn.XLOOKUP(J15,feature_catalog!A:A,feature_catalog!A:A),"")</f>
        <v>rating</v>
      </c>
    </row>
    <row r="16" spans="1:12" x14ac:dyDescent="0.4">
      <c r="A16" t="s">
        <v>492</v>
      </c>
      <c r="B16" t="s">
        <v>493</v>
      </c>
      <c r="C16" t="s">
        <v>79</v>
      </c>
      <c r="D16" t="s">
        <v>494</v>
      </c>
      <c r="E16" t="s">
        <v>495</v>
      </c>
      <c r="F16" t="s">
        <v>451</v>
      </c>
      <c r="G16" t="b">
        <v>0</v>
      </c>
      <c r="H16" t="s">
        <v>496</v>
      </c>
      <c r="I16" t="s">
        <v>497</v>
      </c>
      <c r="J16" t="s">
        <v>492</v>
      </c>
      <c r="L16" t="str">
        <f>IFERROR(_xlfn.XLOOKUP(J16,feature_catalog!A:A,feature_catalog!A:A),"")</f>
        <v>_save_pct</v>
      </c>
    </row>
    <row r="17" spans="1:12" x14ac:dyDescent="0.4">
      <c r="A17" t="s">
        <v>501</v>
      </c>
      <c r="B17" t="s">
        <v>502</v>
      </c>
      <c r="C17" t="s">
        <v>11</v>
      </c>
      <c r="D17" t="s">
        <v>503</v>
      </c>
      <c r="E17" t="s">
        <v>504</v>
      </c>
      <c r="F17" t="s">
        <v>451</v>
      </c>
      <c r="G17" t="b">
        <v>1</v>
      </c>
      <c r="H17" t="s">
        <v>505</v>
      </c>
      <c r="I17" t="s">
        <v>506</v>
      </c>
      <c r="J17" t="s">
        <v>501</v>
      </c>
      <c r="L17" t="str">
        <f>IFERROR(_xlfn.XLOOKUP(J17,feature_catalog!A:A,feature_catalog!A:A),"")</f>
        <v>goalsConceded</v>
      </c>
    </row>
    <row r="18" spans="1:12" x14ac:dyDescent="0.4">
      <c r="A18" t="s">
        <v>507</v>
      </c>
      <c r="B18" t="s">
        <v>508</v>
      </c>
      <c r="C18" t="s">
        <v>11</v>
      </c>
      <c r="D18" t="s">
        <v>509</v>
      </c>
      <c r="E18" t="s">
        <v>510</v>
      </c>
      <c r="F18" t="s">
        <v>451</v>
      </c>
      <c r="G18" t="b">
        <v>1</v>
      </c>
      <c r="H18" t="s">
        <v>511</v>
      </c>
      <c r="I18" t="s">
        <v>512</v>
      </c>
      <c r="J18" t="s">
        <v>507</v>
      </c>
      <c r="L18" t="str">
        <f>IFERROR(_xlfn.XLOOKUP(J18,feature_catalog!A:A,feature_catalog!A:A),"")</f>
        <v/>
      </c>
    </row>
    <row r="19" spans="1:12" x14ac:dyDescent="0.4">
      <c r="A19" t="s">
        <v>513</v>
      </c>
      <c r="B19" t="s">
        <v>514</v>
      </c>
      <c r="C19" t="s">
        <v>11</v>
      </c>
      <c r="D19" t="s">
        <v>515</v>
      </c>
      <c r="E19" t="s">
        <v>516</v>
      </c>
      <c r="F19" t="s">
        <v>451</v>
      </c>
      <c r="G19" t="b">
        <v>0</v>
      </c>
      <c r="H19" t="s">
        <v>517</v>
      </c>
      <c r="I19" t="s">
        <v>518</v>
      </c>
      <c r="J19" t="s">
        <v>513</v>
      </c>
      <c r="K19">
        <v>4</v>
      </c>
      <c r="L19" t="str">
        <f>IFERROR(_xlfn.XLOOKUP(J19,feature_catalog!A:A,feature_catalog!A:A),"")</f>
        <v>goalsPrevented</v>
      </c>
    </row>
    <row r="20" spans="1:12" x14ac:dyDescent="0.4">
      <c r="A20" t="s">
        <v>519</v>
      </c>
      <c r="B20" t="s">
        <v>520</v>
      </c>
      <c r="C20" t="s">
        <v>11</v>
      </c>
      <c r="D20" t="s">
        <v>521</v>
      </c>
      <c r="E20" t="s">
        <v>522</v>
      </c>
      <c r="F20" t="s">
        <v>451</v>
      </c>
      <c r="G20" t="b">
        <v>0</v>
      </c>
      <c r="H20" t="s">
        <v>523</v>
      </c>
      <c r="I20" t="s">
        <v>524</v>
      </c>
      <c r="J20" t="s">
        <v>519</v>
      </c>
      <c r="L20" t="str">
        <f>IFERROR(_xlfn.XLOOKUP(J20,feature_catalog!A:A,feature_catalog!A:A),"")</f>
        <v/>
      </c>
    </row>
    <row r="21" spans="1:12" x14ac:dyDescent="0.4">
      <c r="A21" t="s">
        <v>525</v>
      </c>
      <c r="B21" t="s">
        <v>526</v>
      </c>
      <c r="C21" t="s">
        <v>11</v>
      </c>
      <c r="D21" t="s">
        <v>527</v>
      </c>
      <c r="E21" t="s">
        <v>528</v>
      </c>
      <c r="F21" t="s">
        <v>451</v>
      </c>
      <c r="G21" t="b">
        <v>0</v>
      </c>
      <c r="H21" t="s">
        <v>529</v>
      </c>
      <c r="I21" t="s">
        <v>530</v>
      </c>
      <c r="J21" t="s">
        <v>525</v>
      </c>
      <c r="L21" t="str">
        <f>IFERROR(_xlfn.XLOOKUP(J21,feature_catalog!A:A,feature_catalog!A:A),"")</f>
        <v>highClaims</v>
      </c>
    </row>
    <row r="22" spans="1:12" x14ac:dyDescent="0.4">
      <c r="A22" t="s">
        <v>531</v>
      </c>
      <c r="B22" t="s">
        <v>532</v>
      </c>
      <c r="C22" t="s">
        <v>11</v>
      </c>
      <c r="D22" t="s">
        <v>533</v>
      </c>
      <c r="E22" t="s">
        <v>534</v>
      </c>
      <c r="F22" t="s">
        <v>451</v>
      </c>
      <c r="G22" t="b">
        <v>0</v>
      </c>
      <c r="H22" t="s">
        <v>535</v>
      </c>
      <c r="I22" t="s">
        <v>536</v>
      </c>
      <c r="J22" t="s">
        <v>531</v>
      </c>
      <c r="L22" t="str">
        <f>IFERROR(_xlfn.XLOOKUP(J22,feature_catalog!A:A,feature_catalog!A:A),"")</f>
        <v>runsOut</v>
      </c>
    </row>
    <row r="23" spans="1:12" x14ac:dyDescent="0.4">
      <c r="A23" t="s">
        <v>537</v>
      </c>
      <c r="B23" t="s">
        <v>538</v>
      </c>
      <c r="C23" t="s">
        <v>11</v>
      </c>
      <c r="D23" t="s">
        <v>539</v>
      </c>
      <c r="E23" t="s">
        <v>540</v>
      </c>
      <c r="F23" t="s">
        <v>451</v>
      </c>
      <c r="G23" t="b">
        <v>0</v>
      </c>
      <c r="H23" t="s">
        <v>541</v>
      </c>
      <c r="I23" t="s">
        <v>542</v>
      </c>
      <c r="J23" t="s">
        <v>537</v>
      </c>
      <c r="L23" t="str">
        <f>IFERROR(_xlfn.XLOOKUP(J23,feature_catalog!A:A,feature_catalog!A:A),"")</f>
        <v>successfulRunsOut</v>
      </c>
    </row>
    <row r="24" spans="1:12" x14ac:dyDescent="0.4">
      <c r="A24" t="s">
        <v>543</v>
      </c>
      <c r="B24" t="s">
        <v>544</v>
      </c>
      <c r="C24" t="s">
        <v>11</v>
      </c>
      <c r="D24" t="s">
        <v>545</v>
      </c>
      <c r="E24" t="s">
        <v>546</v>
      </c>
      <c r="F24" t="s">
        <v>451</v>
      </c>
      <c r="G24" t="b">
        <v>0</v>
      </c>
      <c r="H24" t="s">
        <v>547</v>
      </c>
      <c r="I24" t="s">
        <v>548</v>
      </c>
      <c r="J24" t="s">
        <v>543</v>
      </c>
      <c r="L24" t="str">
        <f>IFERROR(_xlfn.XLOOKUP(J24,feature_catalog!A:A,feature_catalog!A:A),"")</f>
        <v>punches</v>
      </c>
    </row>
    <row r="25" spans="1:12" x14ac:dyDescent="0.4">
      <c r="A25" t="s">
        <v>549</v>
      </c>
      <c r="B25" t="s">
        <v>550</v>
      </c>
      <c r="C25" t="s">
        <v>11</v>
      </c>
      <c r="D25" t="s">
        <v>551</v>
      </c>
      <c r="E25" t="s">
        <v>552</v>
      </c>
      <c r="F25" t="s">
        <v>451</v>
      </c>
      <c r="G25" t="b">
        <v>0</v>
      </c>
      <c r="H25" t="s">
        <v>553</v>
      </c>
      <c r="I25" t="s">
        <v>554</v>
      </c>
      <c r="J25" t="s">
        <v>549</v>
      </c>
      <c r="L25" t="str">
        <f>IFERROR(_xlfn.XLOOKUP(J25,feature_catalog!A:A,feature_catalog!A:A),"")</f>
        <v/>
      </c>
    </row>
    <row r="26" spans="1:12" x14ac:dyDescent="0.4">
      <c r="A26" t="s">
        <v>555</v>
      </c>
      <c r="B26" t="s">
        <v>556</v>
      </c>
      <c r="C26" t="s">
        <v>11</v>
      </c>
      <c r="D26" t="s">
        <v>557</v>
      </c>
      <c r="E26" t="s">
        <v>558</v>
      </c>
      <c r="F26" t="s">
        <v>451</v>
      </c>
      <c r="G26" t="b">
        <v>0</v>
      </c>
      <c r="H26" t="s">
        <v>559</v>
      </c>
      <c r="I26" t="s">
        <v>560</v>
      </c>
      <c r="J26" t="s">
        <v>555</v>
      </c>
      <c r="L26" t="str">
        <f>IFERROR(_xlfn.XLOOKUP(J26,feature_catalog!A:A,feature_catalog!A:A),"")</f>
        <v/>
      </c>
    </row>
    <row r="27" spans="1:12" x14ac:dyDescent="0.4">
      <c r="A27" t="s">
        <v>173</v>
      </c>
      <c r="B27" t="s">
        <v>567</v>
      </c>
      <c r="C27" t="s">
        <v>79</v>
      </c>
      <c r="D27" t="s">
        <v>568</v>
      </c>
      <c r="E27" t="s">
        <v>569</v>
      </c>
      <c r="F27" t="s">
        <v>451</v>
      </c>
      <c r="G27" t="b">
        <v>0</v>
      </c>
      <c r="H27" t="s">
        <v>570</v>
      </c>
      <c r="I27" t="s">
        <v>571</v>
      </c>
      <c r="J27" t="s">
        <v>173</v>
      </c>
      <c r="L27" t="str">
        <f>IFERROR(_xlfn.XLOOKUP(J27,feature_catalog!A:A,feature_catalog!A:A),"")</f>
        <v>accurateLongBallsPercentage</v>
      </c>
    </row>
    <row r="28" spans="1:12" x14ac:dyDescent="0.4">
      <c r="A28" t="s">
        <v>572</v>
      </c>
      <c r="B28" t="s">
        <v>573</v>
      </c>
      <c r="C28" t="s">
        <v>486</v>
      </c>
      <c r="D28" t="s">
        <v>574</v>
      </c>
      <c r="E28" t="s">
        <v>575</v>
      </c>
      <c r="F28" t="s">
        <v>489</v>
      </c>
      <c r="G28" t="b">
        <v>0</v>
      </c>
      <c r="H28" t="s">
        <v>576</v>
      </c>
      <c r="I28" t="s">
        <v>577</v>
      </c>
      <c r="J28" t="s">
        <v>572</v>
      </c>
      <c r="L28" t="str">
        <f>IFERROR(_xlfn.XLOOKUP(J28,feature_catalog!A:A,feature_catalog!A:A),"")</f>
        <v>averageX</v>
      </c>
    </row>
    <row r="29" spans="1:12" x14ac:dyDescent="0.4">
      <c r="A29" t="s">
        <v>578</v>
      </c>
      <c r="B29" t="s">
        <v>579</v>
      </c>
      <c r="C29" t="s">
        <v>486</v>
      </c>
      <c r="D29" t="s">
        <v>580</v>
      </c>
      <c r="E29" t="s">
        <v>581</v>
      </c>
      <c r="F29" t="s">
        <v>489</v>
      </c>
      <c r="G29" t="b">
        <v>0</v>
      </c>
      <c r="H29" t="s">
        <v>582</v>
      </c>
      <c r="I29" t="s">
        <v>583</v>
      </c>
      <c r="J29" t="s">
        <v>578</v>
      </c>
      <c r="L29" t="str">
        <f>IFERROR(_xlfn.XLOOKUP(J29,feature_catalog!A:A,feature_catalog!A:A),"")</f>
        <v>averageY</v>
      </c>
    </row>
    <row r="30" spans="1:12" x14ac:dyDescent="0.4">
      <c r="A30" t="s">
        <v>632</v>
      </c>
      <c r="B30" t="s">
        <v>633</v>
      </c>
      <c r="C30" t="s">
        <v>486</v>
      </c>
      <c r="D30" t="s">
        <v>634</v>
      </c>
      <c r="E30" t="s">
        <v>635</v>
      </c>
      <c r="F30" t="s">
        <v>636</v>
      </c>
      <c r="G30" t="b">
        <v>0</v>
      </c>
      <c r="H30" t="s">
        <v>637</v>
      </c>
      <c r="I30" t="s">
        <v>638</v>
      </c>
      <c r="J30" t="s">
        <v>632</v>
      </c>
      <c r="L30" t="str">
        <f>IFERROR(_xlfn.XLOOKUP(J30,feature_catalog!A:A,feature_catalog!A:A),"")</f>
        <v>height</v>
      </c>
    </row>
    <row r="31" spans="1:12" x14ac:dyDescent="0.4">
      <c r="A31" t="s">
        <v>658</v>
      </c>
      <c r="B31" t="s">
        <v>658</v>
      </c>
      <c r="C31" t="s">
        <v>79</v>
      </c>
      <c r="D31" t="s">
        <v>659</v>
      </c>
      <c r="E31" t="s">
        <v>660</v>
      </c>
      <c r="F31" t="s">
        <v>451</v>
      </c>
      <c r="G31" t="s">
        <v>15</v>
      </c>
      <c r="H31" t="s">
        <v>661</v>
      </c>
      <c r="I31" t="s">
        <v>662</v>
      </c>
    </row>
    <row r="32" spans="1:12" x14ac:dyDescent="0.4">
      <c r="A32" t="s">
        <v>653</v>
      </c>
      <c r="B32" t="s">
        <v>653</v>
      </c>
      <c r="C32" t="s">
        <v>79</v>
      </c>
      <c r="D32" t="s">
        <v>654</v>
      </c>
      <c r="E32" t="s">
        <v>655</v>
      </c>
      <c r="F32" t="s">
        <v>451</v>
      </c>
      <c r="G32" t="s">
        <v>15</v>
      </c>
      <c r="H32" t="s">
        <v>656</v>
      </c>
      <c r="I32" t="s">
        <v>657</v>
      </c>
      <c r="K32">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1CFC6-3BD8-4764-BD68-028A47938B3B}">
  <dimension ref="A1:L33"/>
  <sheetViews>
    <sheetView topLeftCell="E1" workbookViewId="0">
      <pane ySplit="1" topLeftCell="A20" activePane="bottomLeft" state="frozen"/>
      <selection pane="bottomLeft" activeCell="E33" sqref="A32:XFD33"/>
    </sheetView>
  </sheetViews>
  <sheetFormatPr baseColWidth="10" defaultRowHeight="14.6" x14ac:dyDescent="0.4"/>
  <cols>
    <col min="1" max="1" width="26.61328125" bestFit="1" customWidth="1"/>
    <col min="2" max="2" width="21.84375" bestFit="1" customWidth="1"/>
    <col min="3" max="3" width="4.4609375" bestFit="1" customWidth="1"/>
    <col min="4" max="4" width="234.3046875" bestFit="1" customWidth="1"/>
    <col min="5" max="5" width="128.53515625" bestFit="1" customWidth="1"/>
    <col min="6" max="6" width="20.15234375" bestFit="1" customWidth="1"/>
    <col min="7" max="7" width="7.765625" bestFit="1" customWidth="1"/>
    <col min="8" max="8" width="25.84375" bestFit="1" customWidth="1"/>
    <col min="9" max="9" width="23.4609375" bestFit="1" customWidth="1"/>
    <col min="10" max="10" width="26.61328125" bestFit="1" customWidth="1"/>
  </cols>
  <sheetData>
    <row r="1" spans="1:12" x14ac:dyDescent="0.4">
      <c r="A1" s="1" t="s">
        <v>0</v>
      </c>
      <c r="B1" s="1" t="s">
        <v>1</v>
      </c>
      <c r="C1" s="1" t="s">
        <v>2</v>
      </c>
      <c r="D1" s="1" t="s">
        <v>3</v>
      </c>
      <c r="E1" s="1" t="s">
        <v>4</v>
      </c>
      <c r="F1" s="1" t="s">
        <v>5</v>
      </c>
      <c r="G1" s="1" t="s">
        <v>6</v>
      </c>
      <c r="H1" s="1" t="s">
        <v>7</v>
      </c>
      <c r="I1" s="1" t="s">
        <v>8</v>
      </c>
      <c r="J1" s="1" t="s">
        <v>0</v>
      </c>
      <c r="K1" s="1" t="s">
        <v>644</v>
      </c>
    </row>
    <row r="2" spans="1:12" x14ac:dyDescent="0.4">
      <c r="A2" t="s">
        <v>38</v>
      </c>
      <c r="B2" t="s">
        <v>39</v>
      </c>
      <c r="C2" t="s">
        <v>11</v>
      </c>
      <c r="D2" t="s">
        <v>40</v>
      </c>
      <c r="E2" t="s">
        <v>41</v>
      </c>
      <c r="F2" t="s">
        <v>42</v>
      </c>
      <c r="G2" t="b">
        <v>0</v>
      </c>
      <c r="H2" t="s">
        <v>43</v>
      </c>
      <c r="I2" t="s">
        <v>44</v>
      </c>
      <c r="J2" t="s">
        <v>38</v>
      </c>
      <c r="L2" t="str">
        <f>IFERROR(_xlfn.XLOOKUP(J2,feature_catalog!A:A,feature_catalog!A:A),"")</f>
        <v>xGBuildup_us</v>
      </c>
    </row>
    <row r="3" spans="1:12" x14ac:dyDescent="0.4">
      <c r="A3" t="s">
        <v>153</v>
      </c>
      <c r="B3" t="s">
        <v>154</v>
      </c>
      <c r="C3" t="s">
        <v>11</v>
      </c>
      <c r="D3" t="s">
        <v>155</v>
      </c>
      <c r="E3" t="s">
        <v>156</v>
      </c>
      <c r="F3" t="s">
        <v>110</v>
      </c>
      <c r="G3" t="b">
        <v>0</v>
      </c>
      <c r="H3" t="s">
        <v>157</v>
      </c>
      <c r="I3" t="s">
        <v>158</v>
      </c>
      <c r="J3" t="s">
        <v>153</v>
      </c>
      <c r="L3" t="str">
        <f>IFERROR(_xlfn.XLOOKUP(J3,feature_catalog!A:A,feature_catalog!A:A),"")</f>
        <v>accuratePasses</v>
      </c>
    </row>
    <row r="4" spans="1:12" x14ac:dyDescent="0.4">
      <c r="A4" t="s">
        <v>159</v>
      </c>
      <c r="B4" t="s">
        <v>160</v>
      </c>
      <c r="C4" t="s">
        <v>79</v>
      </c>
      <c r="D4" t="s">
        <v>161</v>
      </c>
      <c r="E4" t="s">
        <v>162</v>
      </c>
      <c r="F4" t="s">
        <v>163</v>
      </c>
      <c r="G4" t="b">
        <v>0</v>
      </c>
      <c r="H4" t="s">
        <v>164</v>
      </c>
      <c r="I4" t="s">
        <v>165</v>
      </c>
      <c r="J4" t="s">
        <v>159</v>
      </c>
      <c r="K4">
        <v>1</v>
      </c>
      <c r="L4" t="str">
        <f>IFERROR(_xlfn.XLOOKUP(J4,feature_catalog!A:A,feature_catalog!A:A),"")</f>
        <v>accuratePassesPercentage</v>
      </c>
    </row>
    <row r="5" spans="1:12" x14ac:dyDescent="0.4">
      <c r="A5" t="s">
        <v>166</v>
      </c>
      <c r="B5" t="s">
        <v>167</v>
      </c>
      <c r="C5" t="s">
        <v>11</v>
      </c>
      <c r="D5" t="s">
        <v>168</v>
      </c>
      <c r="E5" t="s">
        <v>169</v>
      </c>
      <c r="F5" t="s">
        <v>170</v>
      </c>
      <c r="G5" t="b">
        <v>0</v>
      </c>
      <c r="H5" t="s">
        <v>171</v>
      </c>
      <c r="I5" t="s">
        <v>172</v>
      </c>
      <c r="J5" t="s">
        <v>166</v>
      </c>
      <c r="L5" t="str">
        <f>IFERROR(_xlfn.XLOOKUP(J5,feature_catalog!A:A,feature_catalog!A:A),"")</f>
        <v>accurateLongBalls</v>
      </c>
    </row>
    <row r="6" spans="1:12" x14ac:dyDescent="0.4">
      <c r="A6" t="s">
        <v>173</v>
      </c>
      <c r="B6" t="s">
        <v>174</v>
      </c>
      <c r="C6" t="s">
        <v>79</v>
      </c>
      <c r="D6" t="s">
        <v>175</v>
      </c>
      <c r="E6" t="s">
        <v>176</v>
      </c>
      <c r="F6" t="s">
        <v>170</v>
      </c>
      <c r="G6" t="b">
        <v>0</v>
      </c>
      <c r="H6" t="s">
        <v>177</v>
      </c>
      <c r="I6" t="s">
        <v>178</v>
      </c>
      <c r="J6" t="s">
        <v>173</v>
      </c>
      <c r="K6">
        <v>1</v>
      </c>
      <c r="L6" t="str">
        <f>IFERROR(_xlfn.XLOOKUP(J6,feature_catalog!A:A,feature_catalog!A:A),"")</f>
        <v>accurateLongBallsPercentage</v>
      </c>
    </row>
    <row r="7" spans="1:12" x14ac:dyDescent="0.4">
      <c r="A7" t="s">
        <v>199</v>
      </c>
      <c r="B7" t="s">
        <v>200</v>
      </c>
      <c r="C7" t="s">
        <v>11</v>
      </c>
      <c r="D7" t="s">
        <v>201</v>
      </c>
      <c r="E7" t="s">
        <v>202</v>
      </c>
      <c r="F7" t="s">
        <v>203</v>
      </c>
      <c r="G7" t="b">
        <v>0</v>
      </c>
      <c r="H7" t="s">
        <v>204</v>
      </c>
      <c r="I7" t="s">
        <v>205</v>
      </c>
      <c r="J7" t="s">
        <v>199</v>
      </c>
      <c r="L7" t="str">
        <f>IFERROR(_xlfn.XLOOKUP(J7,feature_catalog!A:A,feature_catalog!A:A),"")</f>
        <v>touches</v>
      </c>
    </row>
    <row r="8" spans="1:12" x14ac:dyDescent="0.4">
      <c r="A8" t="s">
        <v>329</v>
      </c>
      <c r="B8" t="s">
        <v>330</v>
      </c>
      <c r="C8" t="s">
        <v>11</v>
      </c>
      <c r="D8" t="s">
        <v>331</v>
      </c>
      <c r="E8" t="s">
        <v>332</v>
      </c>
      <c r="F8" t="s">
        <v>333</v>
      </c>
      <c r="G8" t="b">
        <v>1</v>
      </c>
      <c r="H8" t="s">
        <v>334</v>
      </c>
      <c r="I8" t="s">
        <v>335</v>
      </c>
      <c r="J8" t="s">
        <v>329</v>
      </c>
      <c r="L8" t="str">
        <f>IFERROR(_xlfn.XLOOKUP(J8,feature_catalog!A:A,feature_catalog!A:A),"")</f>
        <v>errorLeadToGoal</v>
      </c>
    </row>
    <row r="9" spans="1:12" x14ac:dyDescent="0.4">
      <c r="A9" t="s">
        <v>336</v>
      </c>
      <c r="B9" t="s">
        <v>337</v>
      </c>
      <c r="C9" t="s">
        <v>11</v>
      </c>
      <c r="D9" t="s">
        <v>338</v>
      </c>
      <c r="E9" t="s">
        <v>339</v>
      </c>
      <c r="F9" t="s">
        <v>333</v>
      </c>
      <c r="G9" t="b">
        <v>1</v>
      </c>
      <c r="H9" t="s">
        <v>340</v>
      </c>
      <c r="I9" t="s">
        <v>341</v>
      </c>
      <c r="J9" t="s">
        <v>336</v>
      </c>
      <c r="K9">
        <v>3</v>
      </c>
      <c r="L9" t="str">
        <f>IFERROR(_xlfn.XLOOKUP(J9,feature_catalog!A:A,feature_catalog!A:A),"")</f>
        <v>errorLeadToShot</v>
      </c>
    </row>
    <row r="10" spans="1:12" x14ac:dyDescent="0.4">
      <c r="A10" t="s">
        <v>377</v>
      </c>
      <c r="B10" t="s">
        <v>378</v>
      </c>
      <c r="C10" t="s">
        <v>11</v>
      </c>
      <c r="D10" t="s">
        <v>379</v>
      </c>
      <c r="E10" t="s">
        <v>380</v>
      </c>
      <c r="F10" t="s">
        <v>381</v>
      </c>
      <c r="G10" t="b">
        <v>0</v>
      </c>
      <c r="H10" t="s">
        <v>382</v>
      </c>
      <c r="I10" t="s">
        <v>383</v>
      </c>
      <c r="J10" t="s">
        <v>377</v>
      </c>
      <c r="L10" t="str">
        <f>IFERROR(_xlfn.XLOOKUP(J10,feature_catalog!A:A,feature_catalog!A:A),"")</f>
        <v/>
      </c>
    </row>
    <row r="11" spans="1:12" x14ac:dyDescent="0.4">
      <c r="A11" t="s">
        <v>447</v>
      </c>
      <c r="B11" t="s">
        <v>448</v>
      </c>
      <c r="C11" t="s">
        <v>11</v>
      </c>
      <c r="D11" t="s">
        <v>449</v>
      </c>
      <c r="E11" t="s">
        <v>450</v>
      </c>
      <c r="F11" t="s">
        <v>451</v>
      </c>
      <c r="G11" t="b">
        <v>0</v>
      </c>
      <c r="H11" t="s">
        <v>452</v>
      </c>
      <c r="I11" t="s">
        <v>453</v>
      </c>
      <c r="J11" t="s">
        <v>447</v>
      </c>
      <c r="L11" t="str">
        <f>IFERROR(_xlfn.XLOOKUP(J11,feature_catalog!A:A,feature_catalog!A:A),"")</f>
        <v>saves</v>
      </c>
    </row>
    <row r="12" spans="1:12" x14ac:dyDescent="0.4">
      <c r="A12" t="s">
        <v>454</v>
      </c>
      <c r="B12" t="s">
        <v>455</v>
      </c>
      <c r="C12" t="s">
        <v>11</v>
      </c>
      <c r="D12" t="s">
        <v>456</v>
      </c>
      <c r="E12" t="s">
        <v>457</v>
      </c>
      <c r="F12" t="s">
        <v>451</v>
      </c>
      <c r="G12" t="b">
        <v>0</v>
      </c>
      <c r="H12" t="s">
        <v>458</v>
      </c>
      <c r="I12" t="s">
        <v>459</v>
      </c>
      <c r="J12" t="s">
        <v>454</v>
      </c>
      <c r="L12" t="str">
        <f>IFERROR(_xlfn.XLOOKUP(J12,feature_catalog!A:A,feature_catalog!A:A),"")</f>
        <v>cleanSheet</v>
      </c>
    </row>
    <row r="13" spans="1:12" x14ac:dyDescent="0.4">
      <c r="A13" t="s">
        <v>460</v>
      </c>
      <c r="B13" t="s">
        <v>461</v>
      </c>
      <c r="C13" t="s">
        <v>11</v>
      </c>
      <c r="D13" t="s">
        <v>462</v>
      </c>
      <c r="E13" t="s">
        <v>463</v>
      </c>
      <c r="F13" t="s">
        <v>451</v>
      </c>
      <c r="G13" t="b">
        <v>0</v>
      </c>
      <c r="H13" t="s">
        <v>464</v>
      </c>
      <c r="I13" t="s">
        <v>465</v>
      </c>
      <c r="J13" t="s">
        <v>460</v>
      </c>
      <c r="L13" t="str">
        <f>IFERROR(_xlfn.XLOOKUP(J13,feature_catalog!A:A,feature_catalog!A:A),"")</f>
        <v>savedShotsFromInsideTheBox</v>
      </c>
    </row>
    <row r="14" spans="1:12" x14ac:dyDescent="0.4">
      <c r="A14" t="s">
        <v>466</v>
      </c>
      <c r="B14" t="s">
        <v>467</v>
      </c>
      <c r="C14" t="s">
        <v>11</v>
      </c>
      <c r="D14" t="s">
        <v>468</v>
      </c>
      <c r="E14" t="s">
        <v>469</v>
      </c>
      <c r="F14" t="s">
        <v>451</v>
      </c>
      <c r="G14" t="b">
        <v>0</v>
      </c>
      <c r="H14" t="s">
        <v>470</v>
      </c>
      <c r="I14" t="s">
        <v>471</v>
      </c>
      <c r="J14" t="s">
        <v>466</v>
      </c>
      <c r="L14" t="str">
        <f>IFERROR(_xlfn.XLOOKUP(J14,feature_catalog!A:A,feature_catalog!A:A),"")</f>
        <v>savedShotsFromOutsideTheBox</v>
      </c>
    </row>
    <row r="15" spans="1:12" x14ac:dyDescent="0.4">
      <c r="A15" t="s">
        <v>472</v>
      </c>
      <c r="B15" t="s">
        <v>473</v>
      </c>
      <c r="C15" t="s">
        <v>11</v>
      </c>
      <c r="D15" t="s">
        <v>474</v>
      </c>
      <c r="E15" t="s">
        <v>475</v>
      </c>
      <c r="F15" t="s">
        <v>451</v>
      </c>
      <c r="G15" t="b">
        <v>1</v>
      </c>
      <c r="H15" t="s">
        <v>476</v>
      </c>
      <c r="I15" t="s">
        <v>477</v>
      </c>
      <c r="J15" t="s">
        <v>472</v>
      </c>
      <c r="L15" t="str">
        <f>IFERROR(_xlfn.XLOOKUP(J15,feature_catalog!A:A,feature_catalog!A:A),"")</f>
        <v>crossesNotClaimed</v>
      </c>
    </row>
    <row r="16" spans="1:12" x14ac:dyDescent="0.4">
      <c r="A16" t="s">
        <v>478</v>
      </c>
      <c r="B16" t="s">
        <v>479</v>
      </c>
      <c r="C16" t="s">
        <v>79</v>
      </c>
      <c r="D16" t="s">
        <v>480</v>
      </c>
      <c r="E16" t="s">
        <v>481</v>
      </c>
      <c r="F16" t="s">
        <v>451</v>
      </c>
      <c r="G16" t="b">
        <v>0</v>
      </c>
      <c r="H16" t="s">
        <v>482</v>
      </c>
      <c r="I16" t="s">
        <v>483</v>
      </c>
      <c r="J16" t="s">
        <v>478</v>
      </c>
      <c r="K16">
        <v>1.5</v>
      </c>
      <c r="L16" t="str">
        <f>IFERROR(_xlfn.XLOOKUP(J16,feature_catalog!A:A,feature_catalog!A:A),"")</f>
        <v>_penalty_save_pct</v>
      </c>
    </row>
    <row r="17" spans="1:12" x14ac:dyDescent="0.4">
      <c r="A17" t="s">
        <v>484</v>
      </c>
      <c r="B17" t="s">
        <v>485</v>
      </c>
      <c r="C17" t="s">
        <v>486</v>
      </c>
      <c r="D17" t="s">
        <v>487</v>
      </c>
      <c r="E17" t="s">
        <v>488</v>
      </c>
      <c r="F17" t="s">
        <v>489</v>
      </c>
      <c r="G17" t="b">
        <v>0</v>
      </c>
      <c r="H17" t="s">
        <v>490</v>
      </c>
      <c r="I17" t="s">
        <v>491</v>
      </c>
      <c r="J17" t="s">
        <v>484</v>
      </c>
      <c r="L17" t="str">
        <f>IFERROR(_xlfn.XLOOKUP(J17,feature_catalog!A:A,feature_catalog!A:A),"")</f>
        <v>rating</v>
      </c>
    </row>
    <row r="18" spans="1:12" x14ac:dyDescent="0.4">
      <c r="A18" t="s">
        <v>492</v>
      </c>
      <c r="B18" t="s">
        <v>493</v>
      </c>
      <c r="C18" t="s">
        <v>79</v>
      </c>
      <c r="D18" t="s">
        <v>494</v>
      </c>
      <c r="E18" t="s">
        <v>495</v>
      </c>
      <c r="F18" t="s">
        <v>451</v>
      </c>
      <c r="G18" t="b">
        <v>0</v>
      </c>
      <c r="H18" t="s">
        <v>496</v>
      </c>
      <c r="I18" t="s">
        <v>497</v>
      </c>
      <c r="J18" t="s">
        <v>492</v>
      </c>
      <c r="L18" t="str">
        <f>IFERROR(_xlfn.XLOOKUP(J18,feature_catalog!A:A,feature_catalog!A:A),"")</f>
        <v>_save_pct</v>
      </c>
    </row>
    <row r="19" spans="1:12" x14ac:dyDescent="0.4">
      <c r="A19" t="s">
        <v>501</v>
      </c>
      <c r="B19" t="s">
        <v>502</v>
      </c>
      <c r="C19" t="s">
        <v>11</v>
      </c>
      <c r="D19" t="s">
        <v>503</v>
      </c>
      <c r="E19" t="s">
        <v>504</v>
      </c>
      <c r="F19" t="s">
        <v>451</v>
      </c>
      <c r="G19" t="b">
        <v>1</v>
      </c>
      <c r="H19" t="s">
        <v>505</v>
      </c>
      <c r="I19" t="s">
        <v>506</v>
      </c>
      <c r="J19" t="s">
        <v>501</v>
      </c>
      <c r="L19" t="str">
        <f>IFERROR(_xlfn.XLOOKUP(J19,feature_catalog!A:A,feature_catalog!A:A),"")</f>
        <v>goalsConceded</v>
      </c>
    </row>
    <row r="20" spans="1:12" x14ac:dyDescent="0.4">
      <c r="A20" t="s">
        <v>507</v>
      </c>
      <c r="B20" t="s">
        <v>508</v>
      </c>
      <c r="C20" t="s">
        <v>11</v>
      </c>
      <c r="D20" t="s">
        <v>509</v>
      </c>
      <c r="E20" t="s">
        <v>510</v>
      </c>
      <c r="F20" t="s">
        <v>451</v>
      </c>
      <c r="G20" t="b">
        <v>1</v>
      </c>
      <c r="H20" t="s">
        <v>511</v>
      </c>
      <c r="I20" t="s">
        <v>512</v>
      </c>
      <c r="J20" t="s">
        <v>507</v>
      </c>
      <c r="L20" t="str">
        <f>IFERROR(_xlfn.XLOOKUP(J20,feature_catalog!A:A,feature_catalog!A:A),"")</f>
        <v/>
      </c>
    </row>
    <row r="21" spans="1:12" x14ac:dyDescent="0.4">
      <c r="A21" t="s">
        <v>513</v>
      </c>
      <c r="B21" t="s">
        <v>514</v>
      </c>
      <c r="C21" t="s">
        <v>11</v>
      </c>
      <c r="D21" t="s">
        <v>515</v>
      </c>
      <c r="E21" t="s">
        <v>516</v>
      </c>
      <c r="F21" t="s">
        <v>451</v>
      </c>
      <c r="G21" t="b">
        <v>0</v>
      </c>
      <c r="H21" t="s">
        <v>517</v>
      </c>
      <c r="I21" t="s">
        <v>518</v>
      </c>
      <c r="J21" t="s">
        <v>513</v>
      </c>
      <c r="K21">
        <v>4</v>
      </c>
      <c r="L21" t="str">
        <f>IFERROR(_xlfn.XLOOKUP(J21,feature_catalog!A:A,feature_catalog!A:A),"")</f>
        <v>goalsPrevented</v>
      </c>
    </row>
    <row r="22" spans="1:12" x14ac:dyDescent="0.4">
      <c r="A22" t="s">
        <v>519</v>
      </c>
      <c r="B22" t="s">
        <v>520</v>
      </c>
      <c r="C22" t="s">
        <v>11</v>
      </c>
      <c r="D22" t="s">
        <v>521</v>
      </c>
      <c r="E22" t="s">
        <v>522</v>
      </c>
      <c r="F22" t="s">
        <v>451</v>
      </c>
      <c r="G22" t="b">
        <v>0</v>
      </c>
      <c r="H22" t="s">
        <v>523</v>
      </c>
      <c r="I22" t="s">
        <v>524</v>
      </c>
      <c r="J22" t="s">
        <v>519</v>
      </c>
      <c r="L22" t="str">
        <f>IFERROR(_xlfn.XLOOKUP(J22,feature_catalog!A:A,feature_catalog!A:A),"")</f>
        <v/>
      </c>
    </row>
    <row r="23" spans="1:12" x14ac:dyDescent="0.4">
      <c r="A23" t="s">
        <v>525</v>
      </c>
      <c r="B23" t="s">
        <v>526</v>
      </c>
      <c r="C23" t="s">
        <v>11</v>
      </c>
      <c r="D23" t="s">
        <v>527</v>
      </c>
      <c r="E23" t="s">
        <v>528</v>
      </c>
      <c r="F23" t="s">
        <v>451</v>
      </c>
      <c r="G23" t="b">
        <v>0</v>
      </c>
      <c r="H23" t="s">
        <v>529</v>
      </c>
      <c r="I23" t="s">
        <v>530</v>
      </c>
      <c r="J23" t="s">
        <v>525</v>
      </c>
      <c r="L23" t="str">
        <f>IFERROR(_xlfn.XLOOKUP(J23,feature_catalog!A:A,feature_catalog!A:A),"")</f>
        <v>highClaims</v>
      </c>
    </row>
    <row r="24" spans="1:12" x14ac:dyDescent="0.4">
      <c r="A24" t="s">
        <v>531</v>
      </c>
      <c r="B24" t="s">
        <v>532</v>
      </c>
      <c r="C24" t="s">
        <v>11</v>
      </c>
      <c r="D24" t="s">
        <v>533</v>
      </c>
      <c r="E24" t="s">
        <v>534</v>
      </c>
      <c r="F24" t="s">
        <v>451</v>
      </c>
      <c r="G24" t="b">
        <v>0</v>
      </c>
      <c r="H24" t="s">
        <v>535</v>
      </c>
      <c r="I24" t="s">
        <v>536</v>
      </c>
      <c r="J24" t="s">
        <v>531</v>
      </c>
      <c r="K24">
        <v>1</v>
      </c>
      <c r="L24" t="str">
        <f>IFERROR(_xlfn.XLOOKUP(J24,feature_catalog!A:A,feature_catalog!A:A),"")</f>
        <v>runsOut</v>
      </c>
    </row>
    <row r="25" spans="1:12" x14ac:dyDescent="0.4">
      <c r="A25" t="s">
        <v>537</v>
      </c>
      <c r="B25" t="s">
        <v>538</v>
      </c>
      <c r="C25" t="s">
        <v>11</v>
      </c>
      <c r="D25" t="s">
        <v>539</v>
      </c>
      <c r="E25" t="s">
        <v>540</v>
      </c>
      <c r="F25" t="s">
        <v>451</v>
      </c>
      <c r="G25" t="b">
        <v>0</v>
      </c>
      <c r="H25" t="s">
        <v>541</v>
      </c>
      <c r="I25" t="s">
        <v>542</v>
      </c>
      <c r="J25" t="s">
        <v>537</v>
      </c>
      <c r="L25" t="str">
        <f>IFERROR(_xlfn.XLOOKUP(J25,feature_catalog!A:A,feature_catalog!A:A),"")</f>
        <v>successfulRunsOut</v>
      </c>
    </row>
    <row r="26" spans="1:12" x14ac:dyDescent="0.4">
      <c r="A26" t="s">
        <v>549</v>
      </c>
      <c r="B26" t="s">
        <v>550</v>
      </c>
      <c r="C26" t="s">
        <v>11</v>
      </c>
      <c r="D26" t="s">
        <v>551</v>
      </c>
      <c r="E26" t="s">
        <v>552</v>
      </c>
      <c r="F26" t="s">
        <v>451</v>
      </c>
      <c r="G26" t="b">
        <v>0</v>
      </c>
      <c r="H26" t="s">
        <v>553</v>
      </c>
      <c r="I26" t="s">
        <v>554</v>
      </c>
      <c r="J26" t="s">
        <v>549</v>
      </c>
      <c r="L26" t="str">
        <f>IFERROR(_xlfn.XLOOKUP(J26,feature_catalog!A:A,feature_catalog!A:A),"")</f>
        <v/>
      </c>
    </row>
    <row r="27" spans="1:12" x14ac:dyDescent="0.4">
      <c r="A27" t="s">
        <v>555</v>
      </c>
      <c r="B27" t="s">
        <v>556</v>
      </c>
      <c r="C27" t="s">
        <v>11</v>
      </c>
      <c r="D27" t="s">
        <v>557</v>
      </c>
      <c r="E27" t="s">
        <v>558</v>
      </c>
      <c r="F27" t="s">
        <v>451</v>
      </c>
      <c r="G27" t="b">
        <v>0</v>
      </c>
      <c r="H27" t="s">
        <v>559</v>
      </c>
      <c r="I27" t="s">
        <v>560</v>
      </c>
      <c r="J27" t="s">
        <v>555</v>
      </c>
      <c r="L27" t="str">
        <f>IFERROR(_xlfn.XLOOKUP(J27,feature_catalog!A:A,feature_catalog!A:A),"")</f>
        <v/>
      </c>
    </row>
    <row r="28" spans="1:12" x14ac:dyDescent="0.4">
      <c r="A28" t="s">
        <v>173</v>
      </c>
      <c r="B28" t="s">
        <v>567</v>
      </c>
      <c r="C28" t="s">
        <v>79</v>
      </c>
      <c r="D28" t="s">
        <v>568</v>
      </c>
      <c r="E28" t="s">
        <v>569</v>
      </c>
      <c r="F28" t="s">
        <v>451</v>
      </c>
      <c r="G28" t="b">
        <v>0</v>
      </c>
      <c r="H28" t="s">
        <v>570</v>
      </c>
      <c r="I28" t="s">
        <v>571</v>
      </c>
      <c r="J28" t="s">
        <v>173</v>
      </c>
      <c r="L28" t="str">
        <f>IFERROR(_xlfn.XLOOKUP(J28,feature_catalog!A:A,feature_catalog!A:A),"")</f>
        <v>accurateLongBallsPercentage</v>
      </c>
    </row>
    <row r="29" spans="1:12" x14ac:dyDescent="0.4">
      <c r="A29" t="s">
        <v>572</v>
      </c>
      <c r="B29" t="s">
        <v>573</v>
      </c>
      <c r="C29" t="s">
        <v>486</v>
      </c>
      <c r="D29" t="s">
        <v>574</v>
      </c>
      <c r="E29" t="s">
        <v>575</v>
      </c>
      <c r="F29" t="s">
        <v>489</v>
      </c>
      <c r="G29" t="b">
        <v>0</v>
      </c>
      <c r="H29" t="s">
        <v>576</v>
      </c>
      <c r="I29" t="s">
        <v>577</v>
      </c>
      <c r="J29" t="s">
        <v>572</v>
      </c>
      <c r="L29" t="str">
        <f>IFERROR(_xlfn.XLOOKUP(J29,feature_catalog!A:A,feature_catalog!A:A),"")</f>
        <v>averageX</v>
      </c>
    </row>
    <row r="30" spans="1:12" x14ac:dyDescent="0.4">
      <c r="A30" t="s">
        <v>578</v>
      </c>
      <c r="B30" t="s">
        <v>579</v>
      </c>
      <c r="C30" t="s">
        <v>486</v>
      </c>
      <c r="D30" t="s">
        <v>580</v>
      </c>
      <c r="E30" t="s">
        <v>581</v>
      </c>
      <c r="F30" t="s">
        <v>489</v>
      </c>
      <c r="G30" t="b">
        <v>0</v>
      </c>
      <c r="H30" t="s">
        <v>582</v>
      </c>
      <c r="I30" t="s">
        <v>583</v>
      </c>
      <c r="J30" t="s">
        <v>578</v>
      </c>
      <c r="L30" t="str">
        <f>IFERROR(_xlfn.XLOOKUP(J30,feature_catalog!A:A,feature_catalog!A:A),"")</f>
        <v>averageY</v>
      </c>
    </row>
    <row r="31" spans="1:12" x14ac:dyDescent="0.4">
      <c r="A31" t="s">
        <v>632</v>
      </c>
      <c r="B31" t="s">
        <v>633</v>
      </c>
      <c r="C31" t="s">
        <v>486</v>
      </c>
      <c r="D31" t="s">
        <v>634</v>
      </c>
      <c r="E31" t="s">
        <v>635</v>
      </c>
      <c r="F31" t="s">
        <v>636</v>
      </c>
      <c r="G31" t="b">
        <v>0</v>
      </c>
      <c r="H31" t="s">
        <v>637</v>
      </c>
      <c r="I31" t="s">
        <v>638</v>
      </c>
      <c r="J31" t="s">
        <v>632</v>
      </c>
      <c r="L31" t="str">
        <f>IFERROR(_xlfn.XLOOKUP(J31,feature_catalog!A:A,feature_catalog!A:A),"")</f>
        <v>height</v>
      </c>
    </row>
    <row r="32" spans="1:12" x14ac:dyDescent="0.4">
      <c r="A32" t="s">
        <v>658</v>
      </c>
      <c r="B32" t="s">
        <v>658</v>
      </c>
      <c r="C32" t="s">
        <v>79</v>
      </c>
      <c r="D32" t="s">
        <v>659</v>
      </c>
      <c r="E32" t="s">
        <v>660</v>
      </c>
      <c r="F32" t="s">
        <v>451</v>
      </c>
      <c r="G32" t="s">
        <v>15</v>
      </c>
      <c r="H32" t="s">
        <v>661</v>
      </c>
      <c r="I32" t="s">
        <v>662</v>
      </c>
      <c r="J32" t="s">
        <v>658</v>
      </c>
      <c r="K32">
        <v>2</v>
      </c>
      <c r="L32" t="str">
        <f>IFERROR(_xlfn.XLOOKUP(J32,feature_catalog!A:A,feature_catalog!A:A),"")</f>
        <v>runs_out_pct</v>
      </c>
    </row>
    <row r="33" spans="1:12" x14ac:dyDescent="0.4">
      <c r="A33" t="s">
        <v>653</v>
      </c>
      <c r="B33" t="s">
        <v>653</v>
      </c>
      <c r="C33" t="s">
        <v>79</v>
      </c>
      <c r="D33" t="s">
        <v>654</v>
      </c>
      <c r="E33" t="s">
        <v>655</v>
      </c>
      <c r="F33" t="s">
        <v>451</v>
      </c>
      <c r="G33" t="s">
        <v>15</v>
      </c>
      <c r="H33" t="s">
        <v>656</v>
      </c>
      <c r="I33" t="s">
        <v>657</v>
      </c>
      <c r="J33" t="s">
        <v>653</v>
      </c>
      <c r="K33">
        <v>1.5</v>
      </c>
      <c r="L33" t="str">
        <f>IFERROR(_xlfn.XLOOKUP(J33,feature_catalog!A:A,feature_catalog!A:A),"")</f>
        <v>high_claims_pct</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580BE-A12C-43E8-99E4-5AEFC462A7B7}">
  <dimension ref="A1:L36"/>
  <sheetViews>
    <sheetView topLeftCell="F1" workbookViewId="0">
      <pane ySplit="1" topLeftCell="A2" activePane="bottomLeft" state="frozen"/>
      <selection pane="bottomLeft" activeCell="L2" sqref="L2"/>
    </sheetView>
  </sheetViews>
  <sheetFormatPr baseColWidth="10" defaultRowHeight="14.6" x14ac:dyDescent="0.4"/>
  <cols>
    <col min="1" max="1" width="26.61328125" bestFit="1" customWidth="1"/>
    <col min="2" max="2" width="21.84375" bestFit="1" customWidth="1"/>
    <col min="3" max="3" width="4.4609375" bestFit="1" customWidth="1"/>
    <col min="4" max="4" width="234.3046875" bestFit="1" customWidth="1"/>
    <col min="5" max="5" width="128.53515625" bestFit="1" customWidth="1"/>
    <col min="6" max="6" width="20.15234375" bestFit="1" customWidth="1"/>
    <col min="7" max="7" width="7.765625" bestFit="1" customWidth="1"/>
    <col min="8" max="8" width="25.84375" bestFit="1" customWidth="1"/>
    <col min="9" max="9" width="23.4609375" bestFit="1" customWidth="1"/>
    <col min="10" max="10" width="26.61328125" bestFit="1" customWidth="1"/>
  </cols>
  <sheetData>
    <row r="1" spans="1:12" x14ac:dyDescent="0.4">
      <c r="A1" s="1" t="s">
        <v>0</v>
      </c>
      <c r="B1" s="1" t="s">
        <v>1</v>
      </c>
      <c r="C1" s="1" t="s">
        <v>2</v>
      </c>
      <c r="D1" s="1" t="s">
        <v>3</v>
      </c>
      <c r="E1" s="1" t="s">
        <v>4</v>
      </c>
      <c r="F1" s="1" t="s">
        <v>5</v>
      </c>
      <c r="G1" s="1" t="s">
        <v>6</v>
      </c>
      <c r="H1" s="1" t="s">
        <v>7</v>
      </c>
      <c r="I1" s="1" t="s">
        <v>8</v>
      </c>
      <c r="J1" s="1" t="s">
        <v>0</v>
      </c>
      <c r="K1" s="1" t="s">
        <v>644</v>
      </c>
    </row>
    <row r="2" spans="1:12" x14ac:dyDescent="0.4">
      <c r="A2" t="s">
        <v>31</v>
      </c>
      <c r="B2" t="s">
        <v>32</v>
      </c>
      <c r="C2" t="s">
        <v>11</v>
      </c>
      <c r="D2" t="s">
        <v>33</v>
      </c>
      <c r="E2" t="s">
        <v>34</v>
      </c>
      <c r="F2" t="s">
        <v>35</v>
      </c>
      <c r="G2" t="s">
        <v>15</v>
      </c>
      <c r="H2" t="s">
        <v>36</v>
      </c>
      <c r="I2" t="s">
        <v>37</v>
      </c>
      <c r="J2" t="s">
        <v>31</v>
      </c>
      <c r="K2">
        <v>2</v>
      </c>
      <c r="L2" t="str">
        <f>IFERROR(_xlfn.XLOOKUP(J2,feature_catalog!A:A,feature_catalog!A:A),"")</f>
        <v>xGChain_us</v>
      </c>
    </row>
    <row r="3" spans="1:12" x14ac:dyDescent="0.4">
      <c r="A3" t="s">
        <v>113</v>
      </c>
      <c r="B3" t="s">
        <v>114</v>
      </c>
      <c r="C3" t="s">
        <v>11</v>
      </c>
      <c r="D3" t="s">
        <v>115</v>
      </c>
      <c r="E3" t="s">
        <v>116</v>
      </c>
      <c r="F3" t="s">
        <v>96</v>
      </c>
      <c r="G3" t="b">
        <v>0</v>
      </c>
      <c r="H3" t="s">
        <v>117</v>
      </c>
      <c r="I3" t="s">
        <v>118</v>
      </c>
      <c r="J3" t="s">
        <v>113</v>
      </c>
      <c r="L3" t="str">
        <f>IFERROR(_xlfn.XLOOKUP(J3,feature_catalog!A:A,feature_catalog!A:A),"")</f>
        <v>expectedAssists</v>
      </c>
    </row>
    <row r="4" spans="1:12" x14ac:dyDescent="0.4">
      <c r="A4" t="s">
        <v>125</v>
      </c>
      <c r="B4" t="s">
        <v>126</v>
      </c>
      <c r="C4" t="s">
        <v>11</v>
      </c>
      <c r="D4" t="s">
        <v>127</v>
      </c>
      <c r="E4" t="s">
        <v>128</v>
      </c>
      <c r="F4" t="s">
        <v>129</v>
      </c>
      <c r="G4" t="b">
        <v>0</v>
      </c>
      <c r="H4" t="s">
        <v>130</v>
      </c>
      <c r="I4" t="s">
        <v>131</v>
      </c>
      <c r="J4" t="s">
        <v>125</v>
      </c>
      <c r="L4" t="str">
        <f>IFERROR(_xlfn.XLOOKUP(J4,feature_catalog!A:A,feature_catalog!A:A),"")</f>
        <v>keyPasses</v>
      </c>
    </row>
    <row r="5" spans="1:12" x14ac:dyDescent="0.4">
      <c r="A5" t="s">
        <v>153</v>
      </c>
      <c r="B5" t="s">
        <v>154</v>
      </c>
      <c r="C5" t="s">
        <v>11</v>
      </c>
      <c r="D5" t="s">
        <v>155</v>
      </c>
      <c r="E5" t="s">
        <v>156</v>
      </c>
      <c r="F5" t="s">
        <v>110</v>
      </c>
      <c r="G5" t="b">
        <v>0</v>
      </c>
      <c r="H5" t="s">
        <v>157</v>
      </c>
      <c r="I5" t="s">
        <v>158</v>
      </c>
      <c r="J5" t="s">
        <v>153</v>
      </c>
      <c r="L5" t="str">
        <f>IFERROR(_xlfn.XLOOKUP(J5,feature_catalog!A:A,feature_catalog!A:A),"")</f>
        <v>accuratePasses</v>
      </c>
    </row>
    <row r="6" spans="1:12" x14ac:dyDescent="0.4">
      <c r="A6" t="s">
        <v>159</v>
      </c>
      <c r="B6" t="s">
        <v>160</v>
      </c>
      <c r="C6" t="s">
        <v>79</v>
      </c>
      <c r="D6" t="s">
        <v>161</v>
      </c>
      <c r="E6" t="s">
        <v>162</v>
      </c>
      <c r="F6" t="s">
        <v>163</v>
      </c>
      <c r="G6" t="b">
        <v>0</v>
      </c>
      <c r="H6" t="s">
        <v>164</v>
      </c>
      <c r="I6" t="s">
        <v>165</v>
      </c>
      <c r="J6" t="s">
        <v>159</v>
      </c>
      <c r="K6">
        <v>2</v>
      </c>
      <c r="L6" t="str">
        <f>IFERROR(_xlfn.XLOOKUP(J6,feature_catalog!A:A,feature_catalog!A:A),"")</f>
        <v>accuratePassesPercentage</v>
      </c>
    </row>
    <row r="7" spans="1:12" x14ac:dyDescent="0.4">
      <c r="A7" t="s">
        <v>166</v>
      </c>
      <c r="B7" t="s">
        <v>167</v>
      </c>
      <c r="C7" t="s">
        <v>11</v>
      </c>
      <c r="D7" t="s">
        <v>168</v>
      </c>
      <c r="E7" t="s">
        <v>169</v>
      </c>
      <c r="F7" t="s">
        <v>170</v>
      </c>
      <c r="G7" t="b">
        <v>0</v>
      </c>
      <c r="H7" t="s">
        <v>171</v>
      </c>
      <c r="I7" t="s">
        <v>172</v>
      </c>
      <c r="J7" t="s">
        <v>166</v>
      </c>
      <c r="L7" t="str">
        <f>IFERROR(_xlfn.XLOOKUP(J7,feature_catalog!A:A,feature_catalog!A:A),"")</f>
        <v>accurateLongBalls</v>
      </c>
    </row>
    <row r="8" spans="1:12" x14ac:dyDescent="0.4">
      <c r="A8" t="s">
        <v>173</v>
      </c>
      <c r="B8" t="s">
        <v>174</v>
      </c>
      <c r="C8" t="s">
        <v>79</v>
      </c>
      <c r="D8" t="s">
        <v>175</v>
      </c>
      <c r="E8" t="s">
        <v>176</v>
      </c>
      <c r="F8" t="s">
        <v>170</v>
      </c>
      <c r="G8" t="b">
        <v>0</v>
      </c>
      <c r="H8" t="s">
        <v>177</v>
      </c>
      <c r="I8" t="s">
        <v>178</v>
      </c>
      <c r="J8" t="s">
        <v>173</v>
      </c>
      <c r="K8">
        <v>2</v>
      </c>
      <c r="L8" t="str">
        <f>IFERROR(_xlfn.XLOOKUP(J8,feature_catalog!A:A,feature_catalog!A:A),"")</f>
        <v>accurateLongBallsPercentage</v>
      </c>
    </row>
    <row r="9" spans="1:12" x14ac:dyDescent="0.4">
      <c r="A9" t="s">
        <v>238</v>
      </c>
      <c r="B9" t="s">
        <v>239</v>
      </c>
      <c r="C9" t="s">
        <v>11</v>
      </c>
      <c r="D9" t="s">
        <v>240</v>
      </c>
      <c r="E9" t="s">
        <v>241</v>
      </c>
      <c r="F9" t="s">
        <v>242</v>
      </c>
      <c r="G9" t="b">
        <v>1</v>
      </c>
      <c r="H9" t="s">
        <v>243</v>
      </c>
      <c r="I9" t="s">
        <v>244</v>
      </c>
      <c r="J9" t="s">
        <v>238</v>
      </c>
      <c r="K9">
        <v>2</v>
      </c>
      <c r="L9" t="str">
        <f>IFERROR(_xlfn.XLOOKUP(J9,feature_catalog!A:A,feature_catalog!A:A),"")</f>
        <v>possessionLost</v>
      </c>
    </row>
    <row r="10" spans="1:12" x14ac:dyDescent="0.4">
      <c r="A10" t="s">
        <v>329</v>
      </c>
      <c r="B10" t="s">
        <v>330</v>
      </c>
      <c r="C10" t="s">
        <v>11</v>
      </c>
      <c r="D10" t="s">
        <v>331</v>
      </c>
      <c r="E10" t="s">
        <v>332</v>
      </c>
      <c r="F10" t="s">
        <v>333</v>
      </c>
      <c r="G10" t="b">
        <v>1</v>
      </c>
      <c r="H10" t="s">
        <v>334</v>
      </c>
      <c r="I10" t="s">
        <v>335</v>
      </c>
      <c r="J10" t="s">
        <v>329</v>
      </c>
      <c r="L10" t="str">
        <f>IFERROR(_xlfn.XLOOKUP(J10,feature_catalog!A:A,feature_catalog!A:A),"")</f>
        <v>errorLeadToGoal</v>
      </c>
    </row>
    <row r="11" spans="1:12" x14ac:dyDescent="0.4">
      <c r="A11" t="s">
        <v>336</v>
      </c>
      <c r="B11" t="s">
        <v>337</v>
      </c>
      <c r="C11" t="s">
        <v>11</v>
      </c>
      <c r="D11" t="s">
        <v>338</v>
      </c>
      <c r="E11" t="s">
        <v>339</v>
      </c>
      <c r="F11" t="s">
        <v>333</v>
      </c>
      <c r="G11" t="b">
        <v>1</v>
      </c>
      <c r="H11" t="s">
        <v>340</v>
      </c>
      <c r="I11" t="s">
        <v>341</v>
      </c>
      <c r="J11" t="s">
        <v>336</v>
      </c>
      <c r="K11">
        <v>1</v>
      </c>
      <c r="L11" t="str">
        <f>IFERROR(_xlfn.XLOOKUP(J11,feature_catalog!A:A,feature_catalog!A:A),"")</f>
        <v>errorLeadToShot</v>
      </c>
    </row>
    <row r="12" spans="1:12" x14ac:dyDescent="0.4">
      <c r="A12" t="s">
        <v>377</v>
      </c>
      <c r="B12" t="s">
        <v>378</v>
      </c>
      <c r="C12" t="s">
        <v>11</v>
      </c>
      <c r="D12" t="s">
        <v>379</v>
      </c>
      <c r="E12" t="s">
        <v>380</v>
      </c>
      <c r="F12" t="s">
        <v>381</v>
      </c>
      <c r="G12" t="b">
        <v>0</v>
      </c>
      <c r="H12" t="s">
        <v>382</v>
      </c>
      <c r="I12" t="s">
        <v>383</v>
      </c>
      <c r="J12" t="s">
        <v>377</v>
      </c>
      <c r="L12" t="str">
        <f>IFERROR(_xlfn.XLOOKUP(J12,feature_catalog!A:A,feature_catalog!A:A),"")</f>
        <v/>
      </c>
    </row>
    <row r="13" spans="1:12" x14ac:dyDescent="0.4">
      <c r="A13" t="s">
        <v>447</v>
      </c>
      <c r="B13" t="s">
        <v>448</v>
      </c>
      <c r="C13" t="s">
        <v>11</v>
      </c>
      <c r="D13" t="s">
        <v>449</v>
      </c>
      <c r="E13" t="s">
        <v>450</v>
      </c>
      <c r="F13" t="s">
        <v>451</v>
      </c>
      <c r="G13" t="b">
        <v>0</v>
      </c>
      <c r="H13" t="s">
        <v>452</v>
      </c>
      <c r="I13" t="s">
        <v>453</v>
      </c>
      <c r="J13" t="s">
        <v>447</v>
      </c>
      <c r="L13" t="str">
        <f>IFERROR(_xlfn.XLOOKUP(J13,feature_catalog!A:A,feature_catalog!A:A),"")</f>
        <v>saves</v>
      </c>
    </row>
    <row r="14" spans="1:12" x14ac:dyDescent="0.4">
      <c r="A14" t="s">
        <v>454</v>
      </c>
      <c r="B14" t="s">
        <v>455</v>
      </c>
      <c r="C14" t="s">
        <v>11</v>
      </c>
      <c r="D14" t="s">
        <v>456</v>
      </c>
      <c r="E14" t="s">
        <v>457</v>
      </c>
      <c r="F14" t="s">
        <v>451</v>
      </c>
      <c r="G14" t="b">
        <v>0</v>
      </c>
      <c r="H14" t="s">
        <v>458</v>
      </c>
      <c r="I14" t="s">
        <v>459</v>
      </c>
      <c r="J14" t="s">
        <v>454</v>
      </c>
      <c r="L14" t="str">
        <f>IFERROR(_xlfn.XLOOKUP(J14,feature_catalog!A:A,feature_catalog!A:A),"")</f>
        <v>cleanSheet</v>
      </c>
    </row>
    <row r="15" spans="1:12" x14ac:dyDescent="0.4">
      <c r="A15" t="s">
        <v>460</v>
      </c>
      <c r="B15" t="s">
        <v>461</v>
      </c>
      <c r="C15" t="s">
        <v>11</v>
      </c>
      <c r="D15" t="s">
        <v>462</v>
      </c>
      <c r="E15" t="s">
        <v>463</v>
      </c>
      <c r="F15" t="s">
        <v>451</v>
      </c>
      <c r="G15" t="b">
        <v>0</v>
      </c>
      <c r="H15" t="s">
        <v>464</v>
      </c>
      <c r="I15" t="s">
        <v>465</v>
      </c>
      <c r="J15" t="s">
        <v>460</v>
      </c>
      <c r="L15" t="str">
        <f>IFERROR(_xlfn.XLOOKUP(J15,feature_catalog!A:A,feature_catalog!A:A),"")</f>
        <v>savedShotsFromInsideTheBox</v>
      </c>
    </row>
    <row r="16" spans="1:12" x14ac:dyDescent="0.4">
      <c r="A16" t="s">
        <v>466</v>
      </c>
      <c r="B16" t="s">
        <v>467</v>
      </c>
      <c r="C16" t="s">
        <v>11</v>
      </c>
      <c r="D16" t="s">
        <v>468</v>
      </c>
      <c r="E16" t="s">
        <v>469</v>
      </c>
      <c r="F16" t="s">
        <v>451</v>
      </c>
      <c r="G16" t="b">
        <v>0</v>
      </c>
      <c r="H16" t="s">
        <v>470</v>
      </c>
      <c r="I16" t="s">
        <v>471</v>
      </c>
      <c r="J16" t="s">
        <v>466</v>
      </c>
      <c r="L16" t="str">
        <f>IFERROR(_xlfn.XLOOKUP(J16,feature_catalog!A:A,feature_catalog!A:A),"")</f>
        <v>savedShotsFromOutsideTheBox</v>
      </c>
    </row>
    <row r="17" spans="1:12" x14ac:dyDescent="0.4">
      <c r="A17" t="s">
        <v>472</v>
      </c>
      <c r="B17" t="s">
        <v>473</v>
      </c>
      <c r="C17" t="s">
        <v>11</v>
      </c>
      <c r="D17" t="s">
        <v>474</v>
      </c>
      <c r="E17" t="s">
        <v>475</v>
      </c>
      <c r="F17" t="s">
        <v>451</v>
      </c>
      <c r="G17" t="b">
        <v>1</v>
      </c>
      <c r="H17" t="s">
        <v>476</v>
      </c>
      <c r="I17" t="s">
        <v>477</v>
      </c>
      <c r="J17" t="s">
        <v>472</v>
      </c>
      <c r="L17" t="str">
        <f>IFERROR(_xlfn.XLOOKUP(J17,feature_catalog!A:A,feature_catalog!A:A),"")</f>
        <v>crossesNotClaimed</v>
      </c>
    </row>
    <row r="18" spans="1:12" x14ac:dyDescent="0.4">
      <c r="A18" t="s">
        <v>478</v>
      </c>
      <c r="B18" t="s">
        <v>479</v>
      </c>
      <c r="C18" t="s">
        <v>79</v>
      </c>
      <c r="D18" t="s">
        <v>480</v>
      </c>
      <c r="E18" t="s">
        <v>481</v>
      </c>
      <c r="F18" t="s">
        <v>451</v>
      </c>
      <c r="G18" t="b">
        <v>0</v>
      </c>
      <c r="H18" t="s">
        <v>482</v>
      </c>
      <c r="I18" t="s">
        <v>483</v>
      </c>
      <c r="J18" t="s">
        <v>478</v>
      </c>
      <c r="K18">
        <v>1.5</v>
      </c>
      <c r="L18" t="str">
        <f>IFERROR(_xlfn.XLOOKUP(J18,feature_catalog!A:A,feature_catalog!A:A),"")</f>
        <v>_penalty_save_pct</v>
      </c>
    </row>
    <row r="19" spans="1:12" x14ac:dyDescent="0.4">
      <c r="A19" t="s">
        <v>484</v>
      </c>
      <c r="B19" t="s">
        <v>485</v>
      </c>
      <c r="C19" t="s">
        <v>486</v>
      </c>
      <c r="D19" t="s">
        <v>487</v>
      </c>
      <c r="E19" t="s">
        <v>488</v>
      </c>
      <c r="F19" t="s">
        <v>489</v>
      </c>
      <c r="G19" t="b">
        <v>0</v>
      </c>
      <c r="H19" t="s">
        <v>490</v>
      </c>
      <c r="I19" t="s">
        <v>491</v>
      </c>
      <c r="J19" t="s">
        <v>484</v>
      </c>
      <c r="L19" t="str">
        <f>IFERROR(_xlfn.XLOOKUP(J19,feature_catalog!A:A,feature_catalog!A:A),"")</f>
        <v>rating</v>
      </c>
    </row>
    <row r="20" spans="1:12" x14ac:dyDescent="0.4">
      <c r="A20" t="s">
        <v>492</v>
      </c>
      <c r="B20" t="s">
        <v>493</v>
      </c>
      <c r="C20" t="s">
        <v>79</v>
      </c>
      <c r="D20" t="s">
        <v>494</v>
      </c>
      <c r="E20" t="s">
        <v>495</v>
      </c>
      <c r="F20" t="s">
        <v>451</v>
      </c>
      <c r="G20" t="b">
        <v>0</v>
      </c>
      <c r="H20" t="s">
        <v>496</v>
      </c>
      <c r="I20" t="s">
        <v>497</v>
      </c>
      <c r="J20" t="s">
        <v>492</v>
      </c>
      <c r="L20" t="str">
        <f>IFERROR(_xlfn.XLOOKUP(J20,feature_catalog!A:A,feature_catalog!A:A),"")</f>
        <v>_save_pct</v>
      </c>
    </row>
    <row r="21" spans="1:12" x14ac:dyDescent="0.4">
      <c r="A21" t="s">
        <v>501</v>
      </c>
      <c r="B21" t="s">
        <v>502</v>
      </c>
      <c r="C21" t="s">
        <v>11</v>
      </c>
      <c r="D21" t="s">
        <v>503</v>
      </c>
      <c r="E21" t="s">
        <v>504</v>
      </c>
      <c r="F21" t="s">
        <v>451</v>
      </c>
      <c r="G21" t="b">
        <v>1</v>
      </c>
      <c r="H21" t="s">
        <v>505</v>
      </c>
      <c r="I21" t="s">
        <v>506</v>
      </c>
      <c r="J21" t="s">
        <v>501</v>
      </c>
      <c r="L21" t="str">
        <f>IFERROR(_xlfn.XLOOKUP(J21,feature_catalog!A:A,feature_catalog!A:A),"")</f>
        <v>goalsConceded</v>
      </c>
    </row>
    <row r="22" spans="1:12" x14ac:dyDescent="0.4">
      <c r="A22" t="s">
        <v>507</v>
      </c>
      <c r="B22" t="s">
        <v>508</v>
      </c>
      <c r="C22" t="s">
        <v>11</v>
      </c>
      <c r="D22" t="s">
        <v>509</v>
      </c>
      <c r="E22" t="s">
        <v>510</v>
      </c>
      <c r="F22" t="s">
        <v>451</v>
      </c>
      <c r="G22" t="b">
        <v>1</v>
      </c>
      <c r="H22" t="s">
        <v>511</v>
      </c>
      <c r="I22" t="s">
        <v>512</v>
      </c>
      <c r="J22" t="s">
        <v>507</v>
      </c>
      <c r="L22" t="str">
        <f>IFERROR(_xlfn.XLOOKUP(J22,feature_catalog!A:A,feature_catalog!A:A),"")</f>
        <v/>
      </c>
    </row>
    <row r="23" spans="1:12" x14ac:dyDescent="0.4">
      <c r="A23" t="s">
        <v>513</v>
      </c>
      <c r="B23" t="s">
        <v>514</v>
      </c>
      <c r="C23" t="s">
        <v>11</v>
      </c>
      <c r="D23" t="s">
        <v>515</v>
      </c>
      <c r="E23" t="s">
        <v>516</v>
      </c>
      <c r="F23" t="s">
        <v>451</v>
      </c>
      <c r="G23" t="b">
        <v>0</v>
      </c>
      <c r="H23" t="s">
        <v>517</v>
      </c>
      <c r="I23" t="s">
        <v>518</v>
      </c>
      <c r="J23" t="s">
        <v>513</v>
      </c>
      <c r="K23">
        <v>4</v>
      </c>
      <c r="L23" t="str">
        <f>IFERROR(_xlfn.XLOOKUP(J23,feature_catalog!A:A,feature_catalog!A:A),"")</f>
        <v>goalsPrevented</v>
      </c>
    </row>
    <row r="24" spans="1:12" x14ac:dyDescent="0.4">
      <c r="A24" t="s">
        <v>519</v>
      </c>
      <c r="B24" t="s">
        <v>520</v>
      </c>
      <c r="C24" t="s">
        <v>11</v>
      </c>
      <c r="D24" t="s">
        <v>521</v>
      </c>
      <c r="E24" t="s">
        <v>522</v>
      </c>
      <c r="F24" t="s">
        <v>451</v>
      </c>
      <c r="G24" t="b">
        <v>0</v>
      </c>
      <c r="H24" t="s">
        <v>523</v>
      </c>
      <c r="I24" t="s">
        <v>524</v>
      </c>
      <c r="J24" t="s">
        <v>519</v>
      </c>
      <c r="L24" t="str">
        <f>IFERROR(_xlfn.XLOOKUP(J24,feature_catalog!A:A,feature_catalog!A:A),"")</f>
        <v/>
      </c>
    </row>
    <row r="25" spans="1:12" x14ac:dyDescent="0.4">
      <c r="A25" t="s">
        <v>525</v>
      </c>
      <c r="B25" t="s">
        <v>526</v>
      </c>
      <c r="C25" t="s">
        <v>11</v>
      </c>
      <c r="D25" t="s">
        <v>527</v>
      </c>
      <c r="E25" t="s">
        <v>528</v>
      </c>
      <c r="F25" t="s">
        <v>451</v>
      </c>
      <c r="G25" t="b">
        <v>0</v>
      </c>
      <c r="H25" t="s">
        <v>529</v>
      </c>
      <c r="I25" t="s">
        <v>530</v>
      </c>
      <c r="J25" t="s">
        <v>525</v>
      </c>
      <c r="L25" t="str">
        <f>IFERROR(_xlfn.XLOOKUP(J25,feature_catalog!A:A,feature_catalog!A:A),"")</f>
        <v>highClaims</v>
      </c>
    </row>
    <row r="26" spans="1:12" x14ac:dyDescent="0.4">
      <c r="A26" t="s">
        <v>531</v>
      </c>
      <c r="B26" t="s">
        <v>532</v>
      </c>
      <c r="C26" t="s">
        <v>11</v>
      </c>
      <c r="D26" t="s">
        <v>533</v>
      </c>
      <c r="E26" t="s">
        <v>534</v>
      </c>
      <c r="F26" t="s">
        <v>451</v>
      </c>
      <c r="G26" t="b">
        <v>0</v>
      </c>
      <c r="H26" t="s">
        <v>535</v>
      </c>
      <c r="I26" t="s">
        <v>536</v>
      </c>
      <c r="J26" t="s">
        <v>531</v>
      </c>
      <c r="L26" t="str">
        <f>IFERROR(_xlfn.XLOOKUP(J26,feature_catalog!A:A,feature_catalog!A:A),"")</f>
        <v>runsOut</v>
      </c>
    </row>
    <row r="27" spans="1:12" x14ac:dyDescent="0.4">
      <c r="A27" t="s">
        <v>537</v>
      </c>
      <c r="B27" t="s">
        <v>538</v>
      </c>
      <c r="C27" t="s">
        <v>11</v>
      </c>
      <c r="D27" t="s">
        <v>539</v>
      </c>
      <c r="E27" t="s">
        <v>540</v>
      </c>
      <c r="F27" t="s">
        <v>451</v>
      </c>
      <c r="G27" t="b">
        <v>0</v>
      </c>
      <c r="H27" t="s">
        <v>541</v>
      </c>
      <c r="I27" t="s">
        <v>542</v>
      </c>
      <c r="J27" t="s">
        <v>537</v>
      </c>
      <c r="L27" t="str">
        <f>IFERROR(_xlfn.XLOOKUP(J27,feature_catalog!A:A,feature_catalog!A:A),"")</f>
        <v>successfulRunsOut</v>
      </c>
    </row>
    <row r="28" spans="1:12" x14ac:dyDescent="0.4">
      <c r="A28" t="s">
        <v>543</v>
      </c>
      <c r="B28" t="s">
        <v>544</v>
      </c>
      <c r="C28" t="s">
        <v>11</v>
      </c>
      <c r="D28" t="s">
        <v>545</v>
      </c>
      <c r="E28" t="s">
        <v>546</v>
      </c>
      <c r="F28" t="s">
        <v>451</v>
      </c>
      <c r="G28" t="b">
        <v>0</v>
      </c>
      <c r="H28" t="s">
        <v>547</v>
      </c>
      <c r="I28" t="s">
        <v>548</v>
      </c>
      <c r="J28" t="s">
        <v>543</v>
      </c>
      <c r="L28" t="str">
        <f>IFERROR(_xlfn.XLOOKUP(J28,feature_catalog!A:A,feature_catalog!A:A),"")</f>
        <v>punches</v>
      </c>
    </row>
    <row r="29" spans="1:12" x14ac:dyDescent="0.4">
      <c r="A29" t="s">
        <v>549</v>
      </c>
      <c r="B29" t="s">
        <v>550</v>
      </c>
      <c r="C29" t="s">
        <v>11</v>
      </c>
      <c r="D29" t="s">
        <v>551</v>
      </c>
      <c r="E29" t="s">
        <v>552</v>
      </c>
      <c r="F29" t="s">
        <v>451</v>
      </c>
      <c r="G29" t="b">
        <v>0</v>
      </c>
      <c r="H29" t="s">
        <v>553</v>
      </c>
      <c r="I29" t="s">
        <v>554</v>
      </c>
      <c r="J29" t="s">
        <v>549</v>
      </c>
      <c r="L29" t="str">
        <f>IFERROR(_xlfn.XLOOKUP(J29,feature_catalog!A:A,feature_catalog!A:A),"")</f>
        <v/>
      </c>
    </row>
    <row r="30" spans="1:12" x14ac:dyDescent="0.4">
      <c r="A30" t="s">
        <v>555</v>
      </c>
      <c r="B30" t="s">
        <v>556</v>
      </c>
      <c r="C30" t="s">
        <v>11</v>
      </c>
      <c r="D30" t="s">
        <v>557</v>
      </c>
      <c r="E30" t="s">
        <v>558</v>
      </c>
      <c r="F30" t="s">
        <v>451</v>
      </c>
      <c r="G30" t="b">
        <v>0</v>
      </c>
      <c r="H30" t="s">
        <v>559</v>
      </c>
      <c r="I30" t="s">
        <v>560</v>
      </c>
      <c r="J30" t="s">
        <v>555</v>
      </c>
      <c r="L30" t="str">
        <f>IFERROR(_xlfn.XLOOKUP(J30,feature_catalog!A:A,feature_catalog!A:A),"")</f>
        <v/>
      </c>
    </row>
    <row r="31" spans="1:12" x14ac:dyDescent="0.4">
      <c r="A31" t="s">
        <v>173</v>
      </c>
      <c r="B31" t="s">
        <v>567</v>
      </c>
      <c r="C31" t="s">
        <v>79</v>
      </c>
      <c r="D31" t="s">
        <v>568</v>
      </c>
      <c r="E31" t="s">
        <v>569</v>
      </c>
      <c r="F31" t="s">
        <v>451</v>
      </c>
      <c r="G31" t="b">
        <v>0</v>
      </c>
      <c r="H31" t="s">
        <v>570</v>
      </c>
      <c r="I31" t="s">
        <v>571</v>
      </c>
      <c r="J31" t="s">
        <v>173</v>
      </c>
      <c r="L31" t="str">
        <f>IFERROR(_xlfn.XLOOKUP(J31,feature_catalog!A:A,feature_catalog!A:A),"")</f>
        <v>accurateLongBallsPercentage</v>
      </c>
    </row>
    <row r="32" spans="1:12" x14ac:dyDescent="0.4">
      <c r="A32" t="s">
        <v>572</v>
      </c>
      <c r="B32" t="s">
        <v>573</v>
      </c>
      <c r="C32" t="s">
        <v>486</v>
      </c>
      <c r="D32" t="s">
        <v>574</v>
      </c>
      <c r="E32" t="s">
        <v>575</v>
      </c>
      <c r="F32" t="s">
        <v>489</v>
      </c>
      <c r="G32" t="b">
        <v>0</v>
      </c>
      <c r="H32" t="s">
        <v>576</v>
      </c>
      <c r="I32" t="s">
        <v>577</v>
      </c>
      <c r="J32" t="s">
        <v>572</v>
      </c>
      <c r="L32" t="str">
        <f>IFERROR(_xlfn.XLOOKUP(J32,feature_catalog!A:A,feature_catalog!A:A),"")</f>
        <v>averageX</v>
      </c>
    </row>
    <row r="33" spans="1:12" x14ac:dyDescent="0.4">
      <c r="A33" t="s">
        <v>578</v>
      </c>
      <c r="B33" t="s">
        <v>579</v>
      </c>
      <c r="C33" t="s">
        <v>486</v>
      </c>
      <c r="D33" t="s">
        <v>580</v>
      </c>
      <c r="E33" t="s">
        <v>581</v>
      </c>
      <c r="F33" t="s">
        <v>489</v>
      </c>
      <c r="G33" t="b">
        <v>0</v>
      </c>
      <c r="H33" t="s">
        <v>582</v>
      </c>
      <c r="I33" t="s">
        <v>583</v>
      </c>
      <c r="J33" t="s">
        <v>578</v>
      </c>
      <c r="L33" t="str">
        <f>IFERROR(_xlfn.XLOOKUP(J33,feature_catalog!A:A,feature_catalog!A:A),"")</f>
        <v>averageY</v>
      </c>
    </row>
    <row r="34" spans="1:12" x14ac:dyDescent="0.4">
      <c r="A34" t="s">
        <v>632</v>
      </c>
      <c r="B34" t="s">
        <v>633</v>
      </c>
      <c r="C34" t="s">
        <v>486</v>
      </c>
      <c r="D34" t="s">
        <v>634</v>
      </c>
      <c r="E34" t="s">
        <v>635</v>
      </c>
      <c r="F34" t="s">
        <v>636</v>
      </c>
      <c r="G34" t="b">
        <v>0</v>
      </c>
      <c r="H34" t="s">
        <v>637</v>
      </c>
      <c r="I34" t="s">
        <v>638</v>
      </c>
      <c r="J34" t="s">
        <v>632</v>
      </c>
      <c r="L34" t="str">
        <f>IFERROR(_xlfn.XLOOKUP(J34,feature_catalog!A:A,feature_catalog!A:A),"")</f>
        <v>height</v>
      </c>
    </row>
    <row r="35" spans="1:12" x14ac:dyDescent="0.4">
      <c r="A35" t="s">
        <v>658</v>
      </c>
      <c r="B35" t="s">
        <v>658</v>
      </c>
      <c r="C35" t="s">
        <v>79</v>
      </c>
      <c r="D35" t="s">
        <v>659</v>
      </c>
      <c r="E35" t="s">
        <v>660</v>
      </c>
      <c r="F35" t="s">
        <v>451</v>
      </c>
      <c r="G35" t="s">
        <v>15</v>
      </c>
      <c r="H35" t="s">
        <v>661</v>
      </c>
      <c r="I35" t="s">
        <v>662</v>
      </c>
      <c r="J35" t="s">
        <v>658</v>
      </c>
      <c r="L35" t="str">
        <f>IFERROR(_xlfn.XLOOKUP(J35,feature_catalog!A:A,feature_catalog!A:A),"")</f>
        <v>runs_out_pct</v>
      </c>
    </row>
    <row r="36" spans="1:12" x14ac:dyDescent="0.4">
      <c r="A36" t="s">
        <v>653</v>
      </c>
      <c r="B36" t="s">
        <v>653</v>
      </c>
      <c r="C36" t="s">
        <v>79</v>
      </c>
      <c r="D36" t="s">
        <v>654</v>
      </c>
      <c r="E36" t="s">
        <v>655</v>
      </c>
      <c r="F36" t="s">
        <v>451</v>
      </c>
      <c r="G36" t="s">
        <v>15</v>
      </c>
      <c r="H36" t="s">
        <v>656</v>
      </c>
      <c r="I36" t="s">
        <v>657</v>
      </c>
      <c r="J36" t="s">
        <v>653</v>
      </c>
      <c r="K36">
        <v>1.5</v>
      </c>
      <c r="L36" t="str">
        <f>IFERROR(_xlfn.XLOOKUP(J36,feature_catalog!A:A,feature_catalog!A:A),"")</f>
        <v>high_claims_pct</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87E1B-025A-44DC-96A7-8FD41DE9D7B1}">
  <dimension ref="A1:L29"/>
  <sheetViews>
    <sheetView topLeftCell="F1" workbookViewId="0">
      <pane ySplit="1" topLeftCell="A18" activePane="bottomLeft" state="frozen"/>
      <selection activeCell="E1" sqref="E1"/>
      <selection pane="bottomLeft" activeCell="L6" sqref="L2:L29"/>
    </sheetView>
  </sheetViews>
  <sheetFormatPr baseColWidth="10" defaultRowHeight="14.6" x14ac:dyDescent="0.4"/>
  <cols>
    <col min="1" max="1" width="25" bestFit="1" customWidth="1"/>
    <col min="2" max="2" width="18.53515625" bestFit="1" customWidth="1"/>
    <col min="3" max="3" width="4.4609375" bestFit="1" customWidth="1"/>
    <col min="4" max="4" width="209.3828125" bestFit="1" customWidth="1"/>
    <col min="5" max="5" width="148.3828125" bestFit="1" customWidth="1"/>
    <col min="6" max="6" width="20.15234375" bestFit="1" customWidth="1"/>
    <col min="7" max="7" width="7.765625" bestFit="1" customWidth="1"/>
    <col min="8" max="8" width="22.61328125" bestFit="1" customWidth="1"/>
    <col min="9" max="9" width="20.15234375" bestFit="1" customWidth="1"/>
    <col min="10" max="10" width="25" bestFit="1" customWidth="1"/>
    <col min="11" max="11" width="11" bestFit="1" customWidth="1"/>
  </cols>
  <sheetData>
    <row r="1" spans="1:12" x14ac:dyDescent="0.4">
      <c r="A1" s="2" t="s">
        <v>0</v>
      </c>
      <c r="B1" s="2" t="s">
        <v>1</v>
      </c>
      <c r="C1" s="2" t="s">
        <v>2</v>
      </c>
      <c r="D1" s="2" t="s">
        <v>3</v>
      </c>
      <c r="E1" s="2" t="s">
        <v>4</v>
      </c>
      <c r="F1" s="2" t="s">
        <v>5</v>
      </c>
      <c r="G1" s="2" t="s">
        <v>6</v>
      </c>
      <c r="H1" s="2" t="s">
        <v>7</v>
      </c>
      <c r="I1" s="2" t="s">
        <v>8</v>
      </c>
      <c r="J1" s="2" t="s">
        <v>0</v>
      </c>
      <c r="K1" s="2" t="s">
        <v>645</v>
      </c>
    </row>
    <row r="2" spans="1:12" x14ac:dyDescent="0.4">
      <c r="A2" t="s">
        <v>38</v>
      </c>
      <c r="B2" t="s">
        <v>39</v>
      </c>
      <c r="C2" t="s">
        <v>11</v>
      </c>
      <c r="D2" t="s">
        <v>40</v>
      </c>
      <c r="E2" t="s">
        <v>41</v>
      </c>
      <c r="F2" t="s">
        <v>42</v>
      </c>
      <c r="G2" t="b">
        <v>0</v>
      </c>
      <c r="H2" t="s">
        <v>43</v>
      </c>
      <c r="I2" t="s">
        <v>44</v>
      </c>
      <c r="J2" t="s">
        <v>38</v>
      </c>
      <c r="L2" t="str">
        <f>IFERROR(_xlfn.XLOOKUP(A2,feature_catalog!A:A,feature_catalog!A:A),"")</f>
        <v>xGBuildup_us</v>
      </c>
    </row>
    <row r="3" spans="1:12" x14ac:dyDescent="0.4">
      <c r="A3" t="s">
        <v>58</v>
      </c>
      <c r="B3" t="s">
        <v>59</v>
      </c>
      <c r="C3" t="s">
        <v>11</v>
      </c>
      <c r="D3" t="s">
        <v>60</v>
      </c>
      <c r="E3" t="s">
        <v>61</v>
      </c>
      <c r="F3" t="s">
        <v>62</v>
      </c>
      <c r="G3" t="b">
        <v>0</v>
      </c>
      <c r="H3" t="s">
        <v>63</v>
      </c>
      <c r="I3" t="s">
        <v>64</v>
      </c>
      <c r="J3" t="s">
        <v>58</v>
      </c>
      <c r="L3" t="str">
        <f>IFERROR(_xlfn.XLOOKUP(A3,feature_catalog!A:A,feature_catalog!A:A),"")</f>
        <v>headedGoals</v>
      </c>
    </row>
    <row r="4" spans="1:12" x14ac:dyDescent="0.4">
      <c r="A4" t="s">
        <v>106</v>
      </c>
      <c r="B4" t="s">
        <v>107</v>
      </c>
      <c r="C4" t="s">
        <v>11</v>
      </c>
      <c r="D4" t="s">
        <v>108</v>
      </c>
      <c r="E4" t="s">
        <v>109</v>
      </c>
      <c r="F4" t="s">
        <v>110</v>
      </c>
      <c r="G4" t="b">
        <v>0</v>
      </c>
      <c r="H4" t="s">
        <v>111</v>
      </c>
      <c r="I4" t="s">
        <v>112</v>
      </c>
      <c r="J4" t="s">
        <v>106</v>
      </c>
      <c r="L4" t="str">
        <f>IFERROR(_xlfn.XLOOKUP(A4,feature_catalog!A:A,feature_catalog!A:A),"")</f>
        <v>accurateFinalThirdPasses</v>
      </c>
    </row>
    <row r="5" spans="1:12" x14ac:dyDescent="0.4">
      <c r="A5" t="s">
        <v>153</v>
      </c>
      <c r="B5" t="s">
        <v>154</v>
      </c>
      <c r="C5" t="s">
        <v>11</v>
      </c>
      <c r="D5" t="s">
        <v>155</v>
      </c>
      <c r="E5" t="s">
        <v>156</v>
      </c>
      <c r="F5" t="s">
        <v>110</v>
      </c>
      <c r="G5" t="b">
        <v>0</v>
      </c>
      <c r="H5" t="s">
        <v>157</v>
      </c>
      <c r="I5" t="s">
        <v>158</v>
      </c>
      <c r="J5" t="s">
        <v>153</v>
      </c>
      <c r="L5" t="str">
        <f>IFERROR(_xlfn.XLOOKUP(A5,feature_catalog!A:A,feature_catalog!A:A),"")</f>
        <v>accuratePasses</v>
      </c>
    </row>
    <row r="6" spans="1:12" x14ac:dyDescent="0.4">
      <c r="A6" t="s">
        <v>159</v>
      </c>
      <c r="B6" t="s">
        <v>160</v>
      </c>
      <c r="C6" t="s">
        <v>79</v>
      </c>
      <c r="D6" t="s">
        <v>161</v>
      </c>
      <c r="E6" t="s">
        <v>162</v>
      </c>
      <c r="F6" t="s">
        <v>163</v>
      </c>
      <c r="G6" t="b">
        <v>0</v>
      </c>
      <c r="H6" t="s">
        <v>164</v>
      </c>
      <c r="I6" t="s">
        <v>165</v>
      </c>
      <c r="J6" t="s">
        <v>159</v>
      </c>
      <c r="K6" s="3">
        <v>1</v>
      </c>
      <c r="L6" t="str">
        <f>IFERROR(_xlfn.XLOOKUP(A6,feature_catalog!A:A,feature_catalog!A:A),"")</f>
        <v>accuratePassesPercentage</v>
      </c>
    </row>
    <row r="7" spans="1:12" x14ac:dyDescent="0.4">
      <c r="A7" t="s">
        <v>166</v>
      </c>
      <c r="B7" t="s">
        <v>167</v>
      </c>
      <c r="C7" t="s">
        <v>11</v>
      </c>
      <c r="D7" t="s">
        <v>168</v>
      </c>
      <c r="E7" t="s">
        <v>169</v>
      </c>
      <c r="F7" t="s">
        <v>170</v>
      </c>
      <c r="G7" t="b">
        <v>0</v>
      </c>
      <c r="H7" t="s">
        <v>171</v>
      </c>
      <c r="I7" t="s">
        <v>172</v>
      </c>
      <c r="J7" t="s">
        <v>166</v>
      </c>
      <c r="L7" t="str">
        <f>IFERROR(_xlfn.XLOOKUP(A7,feature_catalog!A:A,feature_catalog!A:A),"")</f>
        <v>accurateLongBalls</v>
      </c>
    </row>
    <row r="8" spans="1:12" x14ac:dyDescent="0.4">
      <c r="A8" t="s">
        <v>173</v>
      </c>
      <c r="B8" t="s">
        <v>174</v>
      </c>
      <c r="C8" t="s">
        <v>79</v>
      </c>
      <c r="D8" t="s">
        <v>175</v>
      </c>
      <c r="E8" t="s">
        <v>176</v>
      </c>
      <c r="F8" t="s">
        <v>170</v>
      </c>
      <c r="G8" t="b">
        <v>0</v>
      </c>
      <c r="H8" t="s">
        <v>177</v>
      </c>
      <c r="I8" t="s">
        <v>178</v>
      </c>
      <c r="J8" t="s">
        <v>173</v>
      </c>
      <c r="K8" s="4">
        <v>1</v>
      </c>
      <c r="L8" t="str">
        <f>IFERROR(_xlfn.XLOOKUP(A8,feature_catalog!A:A,feature_catalog!A:A),"")</f>
        <v>accurateLongBallsPercentage</v>
      </c>
    </row>
    <row r="9" spans="1:12" x14ac:dyDescent="0.4">
      <c r="A9" t="s">
        <v>238</v>
      </c>
      <c r="B9" t="s">
        <v>239</v>
      </c>
      <c r="C9" t="s">
        <v>11</v>
      </c>
      <c r="D9" t="s">
        <v>240</v>
      </c>
      <c r="E9" t="s">
        <v>241</v>
      </c>
      <c r="F9" t="s">
        <v>242</v>
      </c>
      <c r="G9" t="b">
        <v>1</v>
      </c>
      <c r="H9" t="s">
        <v>243</v>
      </c>
      <c r="I9" t="s">
        <v>244</v>
      </c>
      <c r="J9" t="s">
        <v>238</v>
      </c>
      <c r="K9" s="3">
        <v>2</v>
      </c>
      <c r="L9" t="str">
        <f>IFERROR(_xlfn.XLOOKUP(A9,feature_catalog!A:A,feature_catalog!A:A),"")</f>
        <v>possessionLost</v>
      </c>
    </row>
    <row r="10" spans="1:12" x14ac:dyDescent="0.4">
      <c r="A10" t="s">
        <v>258</v>
      </c>
      <c r="B10" t="s">
        <v>259</v>
      </c>
      <c r="C10" t="s">
        <v>11</v>
      </c>
      <c r="D10" t="s">
        <v>260</v>
      </c>
      <c r="E10" t="s">
        <v>261</v>
      </c>
      <c r="F10" t="s">
        <v>262</v>
      </c>
      <c r="G10" t="b">
        <v>0</v>
      </c>
      <c r="H10" t="s">
        <v>263</v>
      </c>
      <c r="I10" t="s">
        <v>264</v>
      </c>
      <c r="J10" t="s">
        <v>258</v>
      </c>
      <c r="L10" t="str">
        <f>IFERROR(_xlfn.XLOOKUP(A10,feature_catalog!A:A,feature_catalog!A:A),"")</f>
        <v>ballRecovery</v>
      </c>
    </row>
    <row r="11" spans="1:12" x14ac:dyDescent="0.4">
      <c r="A11" t="s">
        <v>268</v>
      </c>
      <c r="B11" t="s">
        <v>269</v>
      </c>
      <c r="C11" t="s">
        <v>11</v>
      </c>
      <c r="D11" t="s">
        <v>270</v>
      </c>
      <c r="E11" t="s">
        <v>271</v>
      </c>
      <c r="F11" t="s">
        <v>272</v>
      </c>
      <c r="G11" t="b">
        <v>1</v>
      </c>
      <c r="H11" t="s">
        <v>273</v>
      </c>
      <c r="I11" t="s">
        <v>274</v>
      </c>
      <c r="J11" t="s">
        <v>268</v>
      </c>
      <c r="K11" s="5">
        <v>3</v>
      </c>
      <c r="L11" t="str">
        <f>IFERROR(_xlfn.XLOOKUP(A11,feature_catalog!A:A,feature_catalog!A:A),"")</f>
        <v>dribbledPast</v>
      </c>
    </row>
    <row r="12" spans="1:12" x14ac:dyDescent="0.4">
      <c r="A12" t="s">
        <v>302</v>
      </c>
      <c r="B12" t="s">
        <v>303</v>
      </c>
      <c r="C12" t="s">
        <v>11</v>
      </c>
      <c r="D12" t="s">
        <v>304</v>
      </c>
      <c r="E12" t="s">
        <v>305</v>
      </c>
      <c r="F12" t="s">
        <v>306</v>
      </c>
      <c r="G12" t="b">
        <v>1</v>
      </c>
      <c r="H12" t="s">
        <v>307</v>
      </c>
      <c r="I12" t="s">
        <v>308</v>
      </c>
      <c r="J12" t="s">
        <v>302</v>
      </c>
      <c r="K12">
        <v>1</v>
      </c>
      <c r="L12" t="str">
        <f>IFERROR(_xlfn.XLOOKUP(A12,feature_catalog!A:A,feature_catalog!A:A),"")</f>
        <v>fouls</v>
      </c>
    </row>
    <row r="13" spans="1:12" x14ac:dyDescent="0.4">
      <c r="A13" t="s">
        <v>309</v>
      </c>
      <c r="B13" t="s">
        <v>310</v>
      </c>
      <c r="C13" t="s">
        <v>11</v>
      </c>
      <c r="D13" t="s">
        <v>311</v>
      </c>
      <c r="E13" t="s">
        <v>312</v>
      </c>
      <c r="F13" t="s">
        <v>272</v>
      </c>
      <c r="G13" t="b">
        <v>1</v>
      </c>
      <c r="H13" t="s">
        <v>313</v>
      </c>
      <c r="I13" t="s">
        <v>314</v>
      </c>
      <c r="J13" t="s">
        <v>309</v>
      </c>
      <c r="L13" t="str">
        <f>IFERROR(_xlfn.XLOOKUP(A13,feature_catalog!A:A,feature_catalog!A:A),"")</f>
        <v>penaltyConceded</v>
      </c>
    </row>
    <row r="14" spans="1:12" x14ac:dyDescent="0.4">
      <c r="A14" t="s">
        <v>315</v>
      </c>
      <c r="B14" t="s">
        <v>316</v>
      </c>
      <c r="C14" t="s">
        <v>11</v>
      </c>
      <c r="D14" t="s">
        <v>317</v>
      </c>
      <c r="E14" t="s">
        <v>318</v>
      </c>
      <c r="F14" t="s">
        <v>319</v>
      </c>
      <c r="G14" t="b">
        <v>0</v>
      </c>
      <c r="H14" t="s">
        <v>320</v>
      </c>
      <c r="I14" t="s">
        <v>321</v>
      </c>
      <c r="J14" t="s">
        <v>315</v>
      </c>
      <c r="L14" t="str">
        <f>IFERROR(_xlfn.XLOOKUP(A14,feature_catalog!A:A,feature_catalog!A:A),"")</f>
        <v>outfielderBlocks</v>
      </c>
    </row>
    <row r="15" spans="1:12" x14ac:dyDescent="0.4">
      <c r="A15" t="s">
        <v>329</v>
      </c>
      <c r="B15" t="s">
        <v>330</v>
      </c>
      <c r="C15" t="s">
        <v>11</v>
      </c>
      <c r="D15" t="s">
        <v>331</v>
      </c>
      <c r="E15" t="s">
        <v>332</v>
      </c>
      <c r="F15" t="s">
        <v>333</v>
      </c>
      <c r="G15" t="b">
        <v>1</v>
      </c>
      <c r="H15" t="s">
        <v>334</v>
      </c>
      <c r="I15" t="s">
        <v>335</v>
      </c>
      <c r="J15" t="s">
        <v>329</v>
      </c>
      <c r="K15" s="5"/>
      <c r="L15" t="str">
        <f>IFERROR(_xlfn.XLOOKUP(A15,feature_catalog!A:A,feature_catalog!A:A),"")</f>
        <v>errorLeadToGoal</v>
      </c>
    </row>
    <row r="16" spans="1:12" x14ac:dyDescent="0.4">
      <c r="A16" t="s">
        <v>336</v>
      </c>
      <c r="B16" t="s">
        <v>337</v>
      </c>
      <c r="C16" t="s">
        <v>11</v>
      </c>
      <c r="D16" t="s">
        <v>338</v>
      </c>
      <c r="E16" t="s">
        <v>339</v>
      </c>
      <c r="F16" t="s">
        <v>333</v>
      </c>
      <c r="G16" t="b">
        <v>1</v>
      </c>
      <c r="H16" t="s">
        <v>340</v>
      </c>
      <c r="I16" t="s">
        <v>341</v>
      </c>
      <c r="J16" t="s">
        <v>336</v>
      </c>
      <c r="K16" s="5">
        <v>2</v>
      </c>
      <c r="L16" t="str">
        <f>IFERROR(_xlfn.XLOOKUP(A16,feature_catalog!A:A,feature_catalog!A:A),"")</f>
        <v>errorLeadToShot</v>
      </c>
    </row>
    <row r="17" spans="1:12" x14ac:dyDescent="0.4">
      <c r="A17" t="s">
        <v>345</v>
      </c>
      <c r="B17" t="s">
        <v>346</v>
      </c>
      <c r="C17" t="s">
        <v>11</v>
      </c>
      <c r="D17" t="s">
        <v>347</v>
      </c>
      <c r="E17" t="s">
        <v>348</v>
      </c>
      <c r="F17" t="s">
        <v>349</v>
      </c>
      <c r="G17" t="b">
        <v>0</v>
      </c>
      <c r="H17" t="s">
        <v>350</v>
      </c>
      <c r="I17" t="s">
        <v>351</v>
      </c>
      <c r="J17" t="s">
        <v>345</v>
      </c>
      <c r="L17" t="str">
        <f>IFERROR(_xlfn.XLOOKUP(A17,feature_catalog!A:A,feature_catalog!A:A),"")</f>
        <v>tackles</v>
      </c>
    </row>
    <row r="18" spans="1:12" x14ac:dyDescent="0.4">
      <c r="A18" t="s">
        <v>352</v>
      </c>
      <c r="B18" t="s">
        <v>353</v>
      </c>
      <c r="C18" t="s">
        <v>11</v>
      </c>
      <c r="D18" t="s">
        <v>354</v>
      </c>
      <c r="E18" t="s">
        <v>355</v>
      </c>
      <c r="F18" t="s">
        <v>349</v>
      </c>
      <c r="G18" t="b">
        <v>0</v>
      </c>
      <c r="H18" t="s">
        <v>356</v>
      </c>
      <c r="I18" t="s">
        <v>357</v>
      </c>
      <c r="J18" t="s">
        <v>352</v>
      </c>
      <c r="L18" t="str">
        <f>IFERROR(_xlfn.XLOOKUP(A18,feature_catalog!A:A,feature_catalog!A:A),"")</f>
        <v>tacklesWon</v>
      </c>
    </row>
    <row r="19" spans="1:12" x14ac:dyDescent="0.4">
      <c r="A19" t="s">
        <v>358</v>
      </c>
      <c r="B19" t="s">
        <v>359</v>
      </c>
      <c r="C19" t="s">
        <v>79</v>
      </c>
      <c r="D19" t="s">
        <v>360</v>
      </c>
      <c r="E19" t="s">
        <v>361</v>
      </c>
      <c r="F19" t="s">
        <v>349</v>
      </c>
      <c r="G19" t="b">
        <v>0</v>
      </c>
      <c r="H19" t="s">
        <v>362</v>
      </c>
      <c r="I19" t="s">
        <v>363</v>
      </c>
      <c r="J19" t="s">
        <v>358</v>
      </c>
      <c r="K19" s="5"/>
      <c r="L19" t="str">
        <f>IFERROR(_xlfn.XLOOKUP(A19,feature_catalog!A:A,feature_catalog!A:A),"")</f>
        <v>_tackle_success_pct</v>
      </c>
    </row>
    <row r="20" spans="1:12" x14ac:dyDescent="0.4">
      <c r="A20" t="s">
        <v>364</v>
      </c>
      <c r="B20" t="s">
        <v>365</v>
      </c>
      <c r="C20" t="s">
        <v>11</v>
      </c>
      <c r="D20" t="s">
        <v>366</v>
      </c>
      <c r="E20" t="s">
        <v>367</v>
      </c>
      <c r="F20" t="s">
        <v>349</v>
      </c>
      <c r="G20" t="b">
        <v>0</v>
      </c>
      <c r="H20" t="s">
        <v>368</v>
      </c>
      <c r="I20" t="s">
        <v>369</v>
      </c>
      <c r="J20" t="s">
        <v>364</v>
      </c>
      <c r="K20" s="3">
        <v>3</v>
      </c>
      <c r="L20" t="str">
        <f>IFERROR(_xlfn.XLOOKUP(A20,feature_catalog!A:A,feature_catalog!A:A),"")</f>
        <v>interceptions</v>
      </c>
    </row>
    <row r="21" spans="1:12" x14ac:dyDescent="0.4">
      <c r="A21" t="s">
        <v>370</v>
      </c>
      <c r="B21" t="s">
        <v>371</v>
      </c>
      <c r="C21" t="s">
        <v>11</v>
      </c>
      <c r="D21" t="s">
        <v>372</v>
      </c>
      <c r="E21" t="s">
        <v>373</v>
      </c>
      <c r="F21" t="s">
        <v>374</v>
      </c>
      <c r="G21" t="b">
        <v>0</v>
      </c>
      <c r="H21" t="s">
        <v>375</v>
      </c>
      <c r="I21" t="s">
        <v>376</v>
      </c>
      <c r="J21" t="s">
        <v>370</v>
      </c>
      <c r="K21" s="3"/>
      <c r="L21" t="str">
        <f>IFERROR(_xlfn.XLOOKUP(A21,feature_catalog!A:A,feature_catalog!A:A),"")</f>
        <v>clearances</v>
      </c>
    </row>
    <row r="22" spans="1:12" x14ac:dyDescent="0.4">
      <c r="A22" t="s">
        <v>377</v>
      </c>
      <c r="B22" t="s">
        <v>378</v>
      </c>
      <c r="C22" t="s">
        <v>11</v>
      </c>
      <c r="D22" t="s">
        <v>379</v>
      </c>
      <c r="E22" t="s">
        <v>380</v>
      </c>
      <c r="F22" t="s">
        <v>381</v>
      </c>
      <c r="G22" t="b">
        <v>0</v>
      </c>
      <c r="H22" t="s">
        <v>382</v>
      </c>
      <c r="I22" t="s">
        <v>383</v>
      </c>
      <c r="J22" t="s">
        <v>377</v>
      </c>
      <c r="L22" t="str">
        <f>IFERROR(_xlfn.XLOOKUP(A22,feature_catalog!A:A,feature_catalog!A:A),"")</f>
        <v/>
      </c>
    </row>
    <row r="23" spans="1:12" x14ac:dyDescent="0.4">
      <c r="A23" t="s">
        <v>384</v>
      </c>
      <c r="B23" t="s">
        <v>385</v>
      </c>
      <c r="C23" t="s">
        <v>11</v>
      </c>
      <c r="D23" t="s">
        <v>386</v>
      </c>
      <c r="E23" t="s">
        <v>387</v>
      </c>
      <c r="F23" t="s">
        <v>388</v>
      </c>
      <c r="G23" t="b">
        <v>0</v>
      </c>
      <c r="H23" t="s">
        <v>389</v>
      </c>
      <c r="I23" t="s">
        <v>390</v>
      </c>
      <c r="J23" t="s">
        <v>384</v>
      </c>
      <c r="L23" t="str">
        <f>IFERROR(_xlfn.XLOOKUP(A23,feature_catalog!A:A,feature_catalog!A:A),"")</f>
        <v>blockedShots</v>
      </c>
    </row>
    <row r="24" spans="1:12" x14ac:dyDescent="0.4">
      <c r="A24" t="s">
        <v>397</v>
      </c>
      <c r="B24" t="s">
        <v>398</v>
      </c>
      <c r="C24" t="s">
        <v>11</v>
      </c>
      <c r="D24" t="s">
        <v>399</v>
      </c>
      <c r="E24" t="s">
        <v>400</v>
      </c>
      <c r="F24" t="s">
        <v>401</v>
      </c>
      <c r="G24" t="b">
        <v>0</v>
      </c>
      <c r="H24" t="s">
        <v>402</v>
      </c>
      <c r="I24" t="s">
        <v>403</v>
      </c>
      <c r="J24" t="s">
        <v>397</v>
      </c>
      <c r="L24" t="str">
        <f>IFERROR(_xlfn.XLOOKUP(A24,feature_catalog!A:A,feature_catalog!A:A),"")</f>
        <v>_duels_won_p90</v>
      </c>
    </row>
    <row r="25" spans="1:12" x14ac:dyDescent="0.4">
      <c r="A25" t="s">
        <v>404</v>
      </c>
      <c r="B25" t="s">
        <v>405</v>
      </c>
      <c r="C25" t="s">
        <v>79</v>
      </c>
      <c r="D25" t="s">
        <v>406</v>
      </c>
      <c r="E25" t="s">
        <v>407</v>
      </c>
      <c r="F25" t="s">
        <v>408</v>
      </c>
      <c r="G25" t="b">
        <v>0</v>
      </c>
      <c r="H25" t="s">
        <v>409</v>
      </c>
      <c r="I25" t="s">
        <v>410</v>
      </c>
      <c r="J25" t="s">
        <v>404</v>
      </c>
      <c r="L25" t="str">
        <f>IFERROR(_xlfn.XLOOKUP(A25,feature_catalog!A:A,feature_catalog!A:A),"")</f>
        <v>_duels_won_pct</v>
      </c>
    </row>
    <row r="26" spans="1:12" x14ac:dyDescent="0.4">
      <c r="A26" t="s">
        <v>411</v>
      </c>
      <c r="B26" t="s">
        <v>412</v>
      </c>
      <c r="C26" t="s">
        <v>11</v>
      </c>
      <c r="D26" t="s">
        <v>413</v>
      </c>
      <c r="E26" t="s">
        <v>414</v>
      </c>
      <c r="F26" t="s">
        <v>415</v>
      </c>
      <c r="G26" t="b">
        <v>0</v>
      </c>
      <c r="H26" t="s">
        <v>416</v>
      </c>
      <c r="I26" t="s">
        <v>417</v>
      </c>
      <c r="J26" t="s">
        <v>411</v>
      </c>
      <c r="L26" t="str">
        <f>IFERROR(_xlfn.XLOOKUP(A26,feature_catalog!A:A,feature_catalog!A:A),"")</f>
        <v>groundDuelsWon</v>
      </c>
    </row>
    <row r="27" spans="1:12" x14ac:dyDescent="0.4">
      <c r="A27" t="s">
        <v>418</v>
      </c>
      <c r="B27" t="s">
        <v>419</v>
      </c>
      <c r="C27" t="s">
        <v>79</v>
      </c>
      <c r="D27" t="s">
        <v>420</v>
      </c>
      <c r="E27" t="s">
        <v>421</v>
      </c>
      <c r="F27" t="s">
        <v>415</v>
      </c>
      <c r="G27" t="b">
        <v>0</v>
      </c>
      <c r="H27" t="s">
        <v>422</v>
      </c>
      <c r="I27" t="s">
        <v>423</v>
      </c>
      <c r="J27" t="s">
        <v>418</v>
      </c>
      <c r="K27" s="5">
        <v>2.5</v>
      </c>
      <c r="L27" t="str">
        <f>IFERROR(_xlfn.XLOOKUP(A27,feature_catalog!A:A,feature_catalog!A:A),"")</f>
        <v>groundDuelsWonPercentage</v>
      </c>
    </row>
    <row r="28" spans="1:12" x14ac:dyDescent="0.4">
      <c r="A28" t="s">
        <v>424</v>
      </c>
      <c r="B28" t="s">
        <v>425</v>
      </c>
      <c r="C28" t="s">
        <v>11</v>
      </c>
      <c r="D28" t="s">
        <v>426</v>
      </c>
      <c r="E28" t="s">
        <v>427</v>
      </c>
      <c r="F28" t="s">
        <v>428</v>
      </c>
      <c r="G28" t="b">
        <v>0</v>
      </c>
      <c r="H28" t="s">
        <v>429</v>
      </c>
      <c r="I28" t="s">
        <v>430</v>
      </c>
      <c r="J28" t="s">
        <v>424</v>
      </c>
      <c r="L28" t="str">
        <f>IFERROR(_xlfn.XLOOKUP(A28,feature_catalog!A:A,feature_catalog!A:A),"")</f>
        <v>aerialDuelsWon</v>
      </c>
    </row>
    <row r="29" spans="1:12" x14ac:dyDescent="0.4">
      <c r="A29" t="s">
        <v>431</v>
      </c>
      <c r="B29" t="s">
        <v>432</v>
      </c>
      <c r="C29" t="s">
        <v>79</v>
      </c>
      <c r="D29" t="s">
        <v>433</v>
      </c>
      <c r="E29" t="s">
        <v>434</v>
      </c>
      <c r="F29" t="s">
        <v>435</v>
      </c>
      <c r="G29" t="b">
        <v>0</v>
      </c>
      <c r="H29" t="s">
        <v>436</v>
      </c>
      <c r="I29" t="s">
        <v>437</v>
      </c>
      <c r="J29" t="s">
        <v>431</v>
      </c>
      <c r="K29" s="5">
        <v>2</v>
      </c>
      <c r="L29" t="str">
        <f>IFERROR(_xlfn.XLOOKUP(A29,feature_catalog!A:A,feature_catalog!A:A),"")</f>
        <v>aerialDuelsWonPercentage</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6975E-1B67-44AF-91A1-B840D501ECA7}">
  <dimension ref="A1:L37"/>
  <sheetViews>
    <sheetView topLeftCell="F1" workbookViewId="0">
      <pane ySplit="1" topLeftCell="A2" activePane="bottomLeft" state="frozen"/>
      <selection activeCell="D1" sqref="D1"/>
      <selection pane="bottomLeft" activeCell="L2" sqref="L2:L37"/>
    </sheetView>
  </sheetViews>
  <sheetFormatPr baseColWidth="10" defaultRowHeight="14.6" x14ac:dyDescent="0.4"/>
  <cols>
    <col min="1" max="1" width="25" bestFit="1" customWidth="1"/>
    <col min="2" max="2" width="18.53515625" bestFit="1" customWidth="1"/>
    <col min="3" max="3" width="4.4609375" bestFit="1" customWidth="1"/>
    <col min="4" max="4" width="234.3046875" bestFit="1" customWidth="1"/>
    <col min="5" max="5" width="148.3828125" bestFit="1" customWidth="1"/>
    <col min="6" max="6" width="20.15234375" bestFit="1" customWidth="1"/>
    <col min="7" max="7" width="7.765625" bestFit="1" customWidth="1"/>
    <col min="8" max="8" width="22.61328125" bestFit="1" customWidth="1"/>
    <col min="9" max="9" width="20.15234375" bestFit="1" customWidth="1"/>
    <col min="10" max="10" width="25" bestFit="1" customWidth="1"/>
    <col min="11" max="11" width="11" style="7" bestFit="1" customWidth="1"/>
  </cols>
  <sheetData>
    <row r="1" spans="1:12" x14ac:dyDescent="0.4">
      <c r="A1" s="2" t="s">
        <v>0</v>
      </c>
      <c r="B1" s="2" t="s">
        <v>1</v>
      </c>
      <c r="C1" s="2" t="s">
        <v>2</v>
      </c>
      <c r="D1" s="2" t="s">
        <v>3</v>
      </c>
      <c r="E1" s="2" t="s">
        <v>4</v>
      </c>
      <c r="F1" s="2" t="s">
        <v>5</v>
      </c>
      <c r="G1" s="2" t="s">
        <v>6</v>
      </c>
      <c r="H1" s="2" t="s">
        <v>7</v>
      </c>
      <c r="I1" s="2" t="s">
        <v>8</v>
      </c>
      <c r="J1" s="2" t="s">
        <v>0</v>
      </c>
      <c r="K1" s="6" t="s">
        <v>645</v>
      </c>
    </row>
    <row r="2" spans="1:12" x14ac:dyDescent="0.4">
      <c r="A2" t="s">
        <v>431</v>
      </c>
      <c r="B2" t="s">
        <v>432</v>
      </c>
      <c r="C2" t="s">
        <v>79</v>
      </c>
      <c r="D2" t="s">
        <v>433</v>
      </c>
      <c r="E2" t="s">
        <v>434</v>
      </c>
      <c r="F2" t="s">
        <v>435</v>
      </c>
      <c r="G2" t="b">
        <v>0</v>
      </c>
      <c r="H2" t="s">
        <v>436</v>
      </c>
      <c r="I2" t="s">
        <v>437</v>
      </c>
      <c r="J2" t="s">
        <v>431</v>
      </c>
      <c r="K2" s="7">
        <v>1.5</v>
      </c>
      <c r="L2" t="str">
        <f>IFERROR(_xlfn.XLOOKUP(A2,feature_catalog!A:A,feature_catalog!A:A),"")</f>
        <v>aerialDuelsWonPercentage</v>
      </c>
    </row>
    <row r="3" spans="1:12" x14ac:dyDescent="0.4">
      <c r="A3" t="s">
        <v>424</v>
      </c>
      <c r="B3" t="s">
        <v>425</v>
      </c>
      <c r="C3" t="s">
        <v>11</v>
      </c>
      <c r="D3" t="s">
        <v>426</v>
      </c>
      <c r="E3" t="s">
        <v>427</v>
      </c>
      <c r="F3" t="s">
        <v>428</v>
      </c>
      <c r="G3" t="b">
        <v>0</v>
      </c>
      <c r="H3" t="s">
        <v>429</v>
      </c>
      <c r="I3" t="s">
        <v>430</v>
      </c>
      <c r="J3" t="s">
        <v>424</v>
      </c>
      <c r="L3" t="str">
        <f>IFERROR(_xlfn.XLOOKUP(A3,feature_catalog!A:A,feature_catalog!A:A),"")</f>
        <v>aerialDuelsWon</v>
      </c>
    </row>
    <row r="4" spans="1:12" x14ac:dyDescent="0.4">
      <c r="A4" t="s">
        <v>418</v>
      </c>
      <c r="B4" t="s">
        <v>419</v>
      </c>
      <c r="C4" t="s">
        <v>79</v>
      </c>
      <c r="D4" t="s">
        <v>420</v>
      </c>
      <c r="E4" t="s">
        <v>421</v>
      </c>
      <c r="F4" t="s">
        <v>415</v>
      </c>
      <c r="G4" t="b">
        <v>0</v>
      </c>
      <c r="H4" t="s">
        <v>422</v>
      </c>
      <c r="I4" t="s">
        <v>423</v>
      </c>
      <c r="J4" t="s">
        <v>418</v>
      </c>
      <c r="K4" s="7">
        <v>2</v>
      </c>
      <c r="L4" t="str">
        <f>IFERROR(_xlfn.XLOOKUP(A4,feature_catalog!A:A,feature_catalog!A:A),"")</f>
        <v>groundDuelsWonPercentage</v>
      </c>
    </row>
    <row r="5" spans="1:12" x14ac:dyDescent="0.4">
      <c r="A5" t="s">
        <v>411</v>
      </c>
      <c r="B5" t="s">
        <v>412</v>
      </c>
      <c r="C5" t="s">
        <v>11</v>
      </c>
      <c r="D5" t="s">
        <v>413</v>
      </c>
      <c r="E5" t="s">
        <v>414</v>
      </c>
      <c r="F5" t="s">
        <v>415</v>
      </c>
      <c r="G5" t="b">
        <v>0</v>
      </c>
      <c r="H5" t="s">
        <v>416</v>
      </c>
      <c r="I5" t="s">
        <v>417</v>
      </c>
      <c r="J5" t="s">
        <v>411</v>
      </c>
      <c r="L5" t="str">
        <f>IFERROR(_xlfn.XLOOKUP(A5,feature_catalog!A:A,feature_catalog!A:A),"")</f>
        <v>groundDuelsWon</v>
      </c>
    </row>
    <row r="6" spans="1:12" x14ac:dyDescent="0.4">
      <c r="A6" t="s">
        <v>404</v>
      </c>
      <c r="B6" t="s">
        <v>405</v>
      </c>
      <c r="C6" t="s">
        <v>79</v>
      </c>
      <c r="D6" t="s">
        <v>406</v>
      </c>
      <c r="E6" t="s">
        <v>407</v>
      </c>
      <c r="F6" t="s">
        <v>408</v>
      </c>
      <c r="G6" t="b">
        <v>0</v>
      </c>
      <c r="H6" t="s">
        <v>409</v>
      </c>
      <c r="I6" t="s">
        <v>410</v>
      </c>
      <c r="J6" t="s">
        <v>404</v>
      </c>
      <c r="L6" t="str">
        <f>IFERROR(_xlfn.XLOOKUP(A6,feature_catalog!A:A,feature_catalog!A:A),"")</f>
        <v>_duels_won_pct</v>
      </c>
    </row>
    <row r="7" spans="1:12" x14ac:dyDescent="0.4">
      <c r="A7" t="s">
        <v>397</v>
      </c>
      <c r="B7" t="s">
        <v>398</v>
      </c>
      <c r="C7" t="s">
        <v>11</v>
      </c>
      <c r="D7" t="s">
        <v>399</v>
      </c>
      <c r="E7" t="s">
        <v>400</v>
      </c>
      <c r="F7" t="s">
        <v>401</v>
      </c>
      <c r="G7" t="b">
        <v>0</v>
      </c>
      <c r="H7" t="s">
        <v>402</v>
      </c>
      <c r="I7" t="s">
        <v>403</v>
      </c>
      <c r="J7" t="s">
        <v>397</v>
      </c>
      <c r="L7" t="str">
        <f>IFERROR(_xlfn.XLOOKUP(A7,feature_catalog!A:A,feature_catalog!A:A),"")</f>
        <v>_duels_won_p90</v>
      </c>
    </row>
    <row r="8" spans="1:12" x14ac:dyDescent="0.4">
      <c r="A8" t="s">
        <v>358</v>
      </c>
      <c r="B8" t="s">
        <v>359</v>
      </c>
      <c r="C8" t="s">
        <v>79</v>
      </c>
      <c r="D8" t="s">
        <v>360</v>
      </c>
      <c r="E8" t="s">
        <v>361</v>
      </c>
      <c r="F8" t="s">
        <v>349</v>
      </c>
      <c r="G8" t="b">
        <v>0</v>
      </c>
      <c r="H8" t="s">
        <v>362</v>
      </c>
      <c r="I8" t="s">
        <v>363</v>
      </c>
      <c r="J8" t="s">
        <v>358</v>
      </c>
      <c r="L8" t="str">
        <f>IFERROR(_xlfn.XLOOKUP(A8,feature_catalog!A:A,feature_catalog!A:A),"")</f>
        <v>_tackle_success_pct</v>
      </c>
    </row>
    <row r="9" spans="1:12" x14ac:dyDescent="0.4">
      <c r="A9" t="s">
        <v>345</v>
      </c>
      <c r="B9" t="s">
        <v>346</v>
      </c>
      <c r="C9" t="s">
        <v>11</v>
      </c>
      <c r="D9" t="s">
        <v>347</v>
      </c>
      <c r="E9" t="s">
        <v>348</v>
      </c>
      <c r="F9" t="s">
        <v>349</v>
      </c>
      <c r="G9" t="b">
        <v>0</v>
      </c>
      <c r="H9" t="s">
        <v>350</v>
      </c>
      <c r="I9" t="s">
        <v>351</v>
      </c>
      <c r="J9" t="s">
        <v>345</v>
      </c>
      <c r="L9" t="str">
        <f>IFERROR(_xlfn.XLOOKUP(A9,feature_catalog!A:A,feature_catalog!A:A),"")</f>
        <v>tackles</v>
      </c>
    </row>
    <row r="10" spans="1:12" x14ac:dyDescent="0.4">
      <c r="A10" t="s">
        <v>352</v>
      </c>
      <c r="B10" t="s">
        <v>353</v>
      </c>
      <c r="C10" t="s">
        <v>11</v>
      </c>
      <c r="D10" t="s">
        <v>354</v>
      </c>
      <c r="E10" t="s">
        <v>355</v>
      </c>
      <c r="F10" t="s">
        <v>349</v>
      </c>
      <c r="G10" t="b">
        <v>0</v>
      </c>
      <c r="H10" t="s">
        <v>356</v>
      </c>
      <c r="I10" t="s">
        <v>357</v>
      </c>
      <c r="J10" t="s">
        <v>352</v>
      </c>
      <c r="L10" t="str">
        <f>IFERROR(_xlfn.XLOOKUP(A10,feature_catalog!A:A,feature_catalog!A:A),"")</f>
        <v>tacklesWon</v>
      </c>
    </row>
    <row r="11" spans="1:12" x14ac:dyDescent="0.4">
      <c r="A11" t="s">
        <v>364</v>
      </c>
      <c r="B11" t="s">
        <v>365</v>
      </c>
      <c r="C11" t="s">
        <v>11</v>
      </c>
      <c r="D11" t="s">
        <v>366</v>
      </c>
      <c r="E11" t="s">
        <v>367</v>
      </c>
      <c r="F11" t="s">
        <v>349</v>
      </c>
      <c r="G11" t="b">
        <v>0</v>
      </c>
      <c r="H11" t="s">
        <v>368</v>
      </c>
      <c r="I11" t="s">
        <v>369</v>
      </c>
      <c r="J11" t="s">
        <v>364</v>
      </c>
      <c r="K11" s="7">
        <v>2</v>
      </c>
      <c r="L11" t="str">
        <f>IFERROR(_xlfn.XLOOKUP(A11,feature_catalog!A:A,feature_catalog!A:A),"")</f>
        <v>interceptions</v>
      </c>
    </row>
    <row r="12" spans="1:12" x14ac:dyDescent="0.4">
      <c r="A12" t="s">
        <v>370</v>
      </c>
      <c r="B12" t="s">
        <v>371</v>
      </c>
      <c r="C12" t="s">
        <v>11</v>
      </c>
      <c r="D12" t="s">
        <v>372</v>
      </c>
      <c r="E12" t="s">
        <v>373</v>
      </c>
      <c r="F12" t="s">
        <v>374</v>
      </c>
      <c r="G12" t="b">
        <v>0</v>
      </c>
      <c r="H12" t="s">
        <v>375</v>
      </c>
      <c r="I12" t="s">
        <v>376</v>
      </c>
      <c r="J12" t="s">
        <v>370</v>
      </c>
      <c r="L12" t="str">
        <f>IFERROR(_xlfn.XLOOKUP(A12,feature_catalog!A:A,feature_catalog!A:A),"")</f>
        <v>clearances</v>
      </c>
    </row>
    <row r="13" spans="1:12" x14ac:dyDescent="0.4">
      <c r="A13" t="s">
        <v>377</v>
      </c>
      <c r="B13" t="s">
        <v>378</v>
      </c>
      <c r="C13" t="s">
        <v>11</v>
      </c>
      <c r="D13" t="s">
        <v>379</v>
      </c>
      <c r="E13" t="s">
        <v>380</v>
      </c>
      <c r="F13" t="s">
        <v>381</v>
      </c>
      <c r="G13" t="b">
        <v>0</v>
      </c>
      <c r="H13" t="s">
        <v>382</v>
      </c>
      <c r="I13" t="s">
        <v>383</v>
      </c>
      <c r="J13" t="s">
        <v>377</v>
      </c>
      <c r="L13" t="str">
        <f>IFERROR(_xlfn.XLOOKUP(A13,feature_catalog!A:A,feature_catalog!A:A),"")</f>
        <v/>
      </c>
    </row>
    <row r="14" spans="1:12" x14ac:dyDescent="0.4">
      <c r="A14" t="s">
        <v>384</v>
      </c>
      <c r="B14" t="s">
        <v>385</v>
      </c>
      <c r="C14" t="s">
        <v>11</v>
      </c>
      <c r="D14" t="s">
        <v>386</v>
      </c>
      <c r="E14" t="s">
        <v>387</v>
      </c>
      <c r="F14" t="s">
        <v>388</v>
      </c>
      <c r="G14" t="b">
        <v>0</v>
      </c>
      <c r="H14" t="s">
        <v>389</v>
      </c>
      <c r="I14" t="s">
        <v>390</v>
      </c>
      <c r="J14" t="s">
        <v>384</v>
      </c>
      <c r="L14" t="str">
        <f>IFERROR(_xlfn.XLOOKUP(A14,feature_catalog!A:A,feature_catalog!A:A),"")</f>
        <v>blockedShots</v>
      </c>
    </row>
    <row r="15" spans="1:12" x14ac:dyDescent="0.4">
      <c r="A15" t="s">
        <v>315</v>
      </c>
      <c r="B15" t="s">
        <v>316</v>
      </c>
      <c r="C15" t="s">
        <v>11</v>
      </c>
      <c r="D15" t="s">
        <v>317</v>
      </c>
      <c r="E15" t="s">
        <v>318</v>
      </c>
      <c r="F15" t="s">
        <v>319</v>
      </c>
      <c r="G15" t="b">
        <v>0</v>
      </c>
      <c r="H15" t="s">
        <v>320</v>
      </c>
      <c r="I15" t="s">
        <v>321</v>
      </c>
      <c r="J15" t="s">
        <v>315</v>
      </c>
      <c r="L15" t="str">
        <f>IFERROR(_xlfn.XLOOKUP(A15,feature_catalog!A:A,feature_catalog!A:A),"")</f>
        <v>outfielderBlocks</v>
      </c>
    </row>
    <row r="16" spans="1:12" x14ac:dyDescent="0.4">
      <c r="A16" t="s">
        <v>258</v>
      </c>
      <c r="B16" t="s">
        <v>259</v>
      </c>
      <c r="C16" t="s">
        <v>11</v>
      </c>
      <c r="D16" t="s">
        <v>260</v>
      </c>
      <c r="E16" t="s">
        <v>261</v>
      </c>
      <c r="F16" t="s">
        <v>262</v>
      </c>
      <c r="G16" t="b">
        <v>0</v>
      </c>
      <c r="H16" t="s">
        <v>263</v>
      </c>
      <c r="I16" t="s">
        <v>264</v>
      </c>
      <c r="J16" t="s">
        <v>258</v>
      </c>
      <c r="L16" t="str">
        <f>IFERROR(_xlfn.XLOOKUP(A16,feature_catalog!A:A,feature_catalog!A:A),"")</f>
        <v>ballRecovery</v>
      </c>
    </row>
    <row r="17" spans="1:12" x14ac:dyDescent="0.4">
      <c r="A17" t="s">
        <v>268</v>
      </c>
      <c r="B17" t="s">
        <v>269</v>
      </c>
      <c r="C17" t="s">
        <v>11</v>
      </c>
      <c r="D17" t="s">
        <v>270</v>
      </c>
      <c r="E17" t="s">
        <v>271</v>
      </c>
      <c r="F17" t="s">
        <v>272</v>
      </c>
      <c r="G17" t="b">
        <v>1</v>
      </c>
      <c r="H17" t="s">
        <v>273</v>
      </c>
      <c r="I17" t="s">
        <v>274</v>
      </c>
      <c r="J17" t="s">
        <v>268</v>
      </c>
      <c r="K17" s="7">
        <v>2</v>
      </c>
      <c r="L17" t="str">
        <f>IFERROR(_xlfn.XLOOKUP(A17,feature_catalog!A:A,feature_catalog!A:A),"")</f>
        <v>dribbledPast</v>
      </c>
    </row>
    <row r="18" spans="1:12" x14ac:dyDescent="0.4">
      <c r="A18" t="s">
        <v>329</v>
      </c>
      <c r="B18" t="s">
        <v>330</v>
      </c>
      <c r="C18" t="s">
        <v>11</v>
      </c>
      <c r="D18" t="s">
        <v>331</v>
      </c>
      <c r="E18" t="s">
        <v>332</v>
      </c>
      <c r="F18" t="s">
        <v>333</v>
      </c>
      <c r="G18" t="b">
        <v>1</v>
      </c>
      <c r="H18" t="s">
        <v>334</v>
      </c>
      <c r="I18" t="s">
        <v>335</v>
      </c>
      <c r="J18" t="s">
        <v>329</v>
      </c>
      <c r="L18" t="str">
        <f>IFERROR(_xlfn.XLOOKUP(A18,feature_catalog!A:A,feature_catalog!A:A),"")</f>
        <v>errorLeadToGoal</v>
      </c>
    </row>
    <row r="19" spans="1:12" x14ac:dyDescent="0.4">
      <c r="A19" t="s">
        <v>336</v>
      </c>
      <c r="B19" t="s">
        <v>337</v>
      </c>
      <c r="C19" t="s">
        <v>11</v>
      </c>
      <c r="D19" t="s">
        <v>338</v>
      </c>
      <c r="E19" t="s">
        <v>339</v>
      </c>
      <c r="F19" t="s">
        <v>333</v>
      </c>
      <c r="G19" t="b">
        <v>1</v>
      </c>
      <c r="H19" t="s">
        <v>340</v>
      </c>
      <c r="I19" t="s">
        <v>341</v>
      </c>
      <c r="J19" t="s">
        <v>336</v>
      </c>
      <c r="K19" s="7">
        <v>2</v>
      </c>
      <c r="L19" t="str">
        <f>IFERROR(_xlfn.XLOOKUP(A19,feature_catalog!A:A,feature_catalog!A:A),"")</f>
        <v>errorLeadToShot</v>
      </c>
    </row>
    <row r="20" spans="1:12" x14ac:dyDescent="0.4">
      <c r="A20" t="s">
        <v>302</v>
      </c>
      <c r="B20" t="s">
        <v>303</v>
      </c>
      <c r="C20" t="s">
        <v>11</v>
      </c>
      <c r="D20" t="s">
        <v>304</v>
      </c>
      <c r="E20" t="s">
        <v>305</v>
      </c>
      <c r="F20" t="s">
        <v>306</v>
      </c>
      <c r="G20" t="b">
        <v>1</v>
      </c>
      <c r="H20" t="s">
        <v>307</v>
      </c>
      <c r="I20" t="s">
        <v>308</v>
      </c>
      <c r="J20" t="s">
        <v>302</v>
      </c>
      <c r="K20" s="7">
        <v>1</v>
      </c>
      <c r="L20" t="str">
        <f>IFERROR(_xlfn.XLOOKUP(A20,feature_catalog!A:A,feature_catalog!A:A),"")</f>
        <v>fouls</v>
      </c>
    </row>
    <row r="21" spans="1:12" x14ac:dyDescent="0.4">
      <c r="A21" t="s">
        <v>309</v>
      </c>
      <c r="B21" t="s">
        <v>310</v>
      </c>
      <c r="C21" t="s">
        <v>11</v>
      </c>
      <c r="D21" t="s">
        <v>311</v>
      </c>
      <c r="E21" t="s">
        <v>312</v>
      </c>
      <c r="F21" t="s">
        <v>272</v>
      </c>
      <c r="G21" t="b">
        <v>1</v>
      </c>
      <c r="H21" t="s">
        <v>313</v>
      </c>
      <c r="I21" t="s">
        <v>314</v>
      </c>
      <c r="J21" t="s">
        <v>309</v>
      </c>
      <c r="K21" s="7">
        <v>1</v>
      </c>
      <c r="L21" t="str">
        <f>IFERROR(_xlfn.XLOOKUP(A21,feature_catalog!A:A,feature_catalog!A:A),"")</f>
        <v>penaltyConceded</v>
      </c>
    </row>
    <row r="22" spans="1:12" x14ac:dyDescent="0.4">
      <c r="A22" t="s">
        <v>159</v>
      </c>
      <c r="B22" t="s">
        <v>160</v>
      </c>
      <c r="C22" t="s">
        <v>79</v>
      </c>
      <c r="D22" t="s">
        <v>161</v>
      </c>
      <c r="E22" t="s">
        <v>162</v>
      </c>
      <c r="F22" t="s">
        <v>163</v>
      </c>
      <c r="G22" t="b">
        <v>0</v>
      </c>
      <c r="H22" t="s">
        <v>164</v>
      </c>
      <c r="I22" t="s">
        <v>165</v>
      </c>
      <c r="J22" t="s">
        <v>159</v>
      </c>
      <c r="K22" s="7">
        <v>2.5</v>
      </c>
      <c r="L22" t="str">
        <f>IFERROR(_xlfn.XLOOKUP(A22,feature_catalog!A:A,feature_catalog!A:A),"")</f>
        <v>accuratePassesPercentage</v>
      </c>
    </row>
    <row r="23" spans="1:12" x14ac:dyDescent="0.4">
      <c r="A23" t="s">
        <v>153</v>
      </c>
      <c r="B23" t="s">
        <v>154</v>
      </c>
      <c r="C23" t="s">
        <v>11</v>
      </c>
      <c r="D23" t="s">
        <v>155</v>
      </c>
      <c r="E23" t="s">
        <v>156</v>
      </c>
      <c r="F23" t="s">
        <v>110</v>
      </c>
      <c r="G23" t="b">
        <v>0</v>
      </c>
      <c r="H23" t="s">
        <v>157</v>
      </c>
      <c r="I23" t="s">
        <v>158</v>
      </c>
      <c r="J23" t="s">
        <v>153</v>
      </c>
      <c r="L23" t="str">
        <f>IFERROR(_xlfn.XLOOKUP(A23,feature_catalog!A:A,feature_catalog!A:A),"")</f>
        <v>accuratePasses</v>
      </c>
    </row>
    <row r="24" spans="1:12" x14ac:dyDescent="0.4">
      <c r="A24" t="s">
        <v>173</v>
      </c>
      <c r="B24" t="s">
        <v>174</v>
      </c>
      <c r="C24" t="s">
        <v>79</v>
      </c>
      <c r="D24" t="s">
        <v>175</v>
      </c>
      <c r="E24" t="s">
        <v>176</v>
      </c>
      <c r="F24" t="s">
        <v>170</v>
      </c>
      <c r="G24" t="b">
        <v>0</v>
      </c>
      <c r="H24" t="s">
        <v>177</v>
      </c>
      <c r="I24" t="s">
        <v>178</v>
      </c>
      <c r="J24" t="s">
        <v>173</v>
      </c>
      <c r="K24" s="7">
        <v>2</v>
      </c>
      <c r="L24" t="str">
        <f>IFERROR(_xlfn.XLOOKUP(A24,feature_catalog!A:A,feature_catalog!A:A),"")</f>
        <v>accurateLongBallsPercentage</v>
      </c>
    </row>
    <row r="25" spans="1:12" x14ac:dyDescent="0.4">
      <c r="A25" t="s">
        <v>166</v>
      </c>
      <c r="B25" t="s">
        <v>167</v>
      </c>
      <c r="C25" t="s">
        <v>11</v>
      </c>
      <c r="D25" t="s">
        <v>168</v>
      </c>
      <c r="E25" t="s">
        <v>169</v>
      </c>
      <c r="F25" t="s">
        <v>170</v>
      </c>
      <c r="G25" t="b">
        <v>0</v>
      </c>
      <c r="H25" t="s">
        <v>171</v>
      </c>
      <c r="I25" t="s">
        <v>172</v>
      </c>
      <c r="J25" t="s">
        <v>166</v>
      </c>
      <c r="L25" t="str">
        <f>IFERROR(_xlfn.XLOOKUP(A25,feature_catalog!A:A,feature_catalog!A:A),"")</f>
        <v>accurateLongBalls</v>
      </c>
    </row>
    <row r="26" spans="1:12" x14ac:dyDescent="0.4">
      <c r="A26" t="s">
        <v>106</v>
      </c>
      <c r="B26" t="s">
        <v>107</v>
      </c>
      <c r="C26" t="s">
        <v>11</v>
      </c>
      <c r="D26" t="s">
        <v>108</v>
      </c>
      <c r="E26" t="s">
        <v>109</v>
      </c>
      <c r="F26" t="s">
        <v>110</v>
      </c>
      <c r="G26" t="b">
        <v>0</v>
      </c>
      <c r="H26" t="s">
        <v>111</v>
      </c>
      <c r="I26" t="s">
        <v>112</v>
      </c>
      <c r="J26" t="s">
        <v>106</v>
      </c>
      <c r="L26" t="str">
        <f>IFERROR(_xlfn.XLOOKUP(A26,feature_catalog!A:A,feature_catalog!A:A),"")</f>
        <v>accurateFinalThirdPasses</v>
      </c>
    </row>
    <row r="27" spans="1:12" x14ac:dyDescent="0.4">
      <c r="A27" t="s">
        <v>31</v>
      </c>
      <c r="B27" t="s">
        <v>32</v>
      </c>
      <c r="C27" t="s">
        <v>11</v>
      </c>
      <c r="D27" t="s">
        <v>33</v>
      </c>
      <c r="E27" t="s">
        <v>34</v>
      </c>
      <c r="F27" t="s">
        <v>35</v>
      </c>
      <c r="G27" t="s">
        <v>15</v>
      </c>
      <c r="H27" t="s">
        <v>36</v>
      </c>
      <c r="I27" t="s">
        <v>37</v>
      </c>
      <c r="J27" t="s">
        <v>31</v>
      </c>
      <c r="K27">
        <v>2</v>
      </c>
      <c r="L27" t="str">
        <f>IFERROR(_xlfn.XLOOKUP(A27,feature_catalog!A:A,feature_catalog!A:A),"")</f>
        <v>xGChain_us</v>
      </c>
    </row>
    <row r="28" spans="1:12" x14ac:dyDescent="0.4">
      <c r="A28" t="s">
        <v>139</v>
      </c>
      <c r="B28" t="s">
        <v>140</v>
      </c>
      <c r="C28" t="s">
        <v>11</v>
      </c>
      <c r="D28" t="s">
        <v>141</v>
      </c>
      <c r="E28" t="s">
        <v>142</v>
      </c>
      <c r="F28" t="s">
        <v>143</v>
      </c>
      <c r="G28" t="b">
        <v>0</v>
      </c>
      <c r="H28" t="s">
        <v>144</v>
      </c>
      <c r="I28" t="s">
        <v>145</v>
      </c>
      <c r="J28" t="s">
        <v>139</v>
      </c>
      <c r="L28" t="str">
        <f>IFERROR(_xlfn.XLOOKUP(A28,feature_catalog!A:A,feature_catalog!A:A),"")</f>
        <v/>
      </c>
    </row>
    <row r="29" spans="1:12" x14ac:dyDescent="0.4">
      <c r="A29" t="s">
        <v>287</v>
      </c>
      <c r="B29" t="s">
        <v>288</v>
      </c>
      <c r="C29" t="s">
        <v>11</v>
      </c>
      <c r="D29" t="s">
        <v>289</v>
      </c>
      <c r="E29" t="s">
        <v>290</v>
      </c>
      <c r="F29" t="s">
        <v>291</v>
      </c>
      <c r="G29" t="b">
        <v>0</v>
      </c>
      <c r="H29" t="s">
        <v>292</v>
      </c>
      <c r="I29" t="s">
        <v>293</v>
      </c>
      <c r="J29" t="s">
        <v>287</v>
      </c>
      <c r="L29" t="str">
        <f>IFERROR(_xlfn.XLOOKUP(A29,feature_catalog!A:A,feature_catalog!A:A),"")</f>
        <v>progressiveCarries</v>
      </c>
    </row>
    <row r="30" spans="1:12" x14ac:dyDescent="0.4">
      <c r="A30" t="s">
        <v>125</v>
      </c>
      <c r="B30" t="s">
        <v>126</v>
      </c>
      <c r="C30" t="s">
        <v>11</v>
      </c>
      <c r="D30" t="s">
        <v>127</v>
      </c>
      <c r="E30" t="s">
        <v>128</v>
      </c>
      <c r="F30" t="s">
        <v>129</v>
      </c>
      <c r="G30" t="b">
        <v>0</v>
      </c>
      <c r="H30" t="s">
        <v>130</v>
      </c>
      <c r="I30" t="s">
        <v>131</v>
      </c>
      <c r="J30" t="s">
        <v>125</v>
      </c>
      <c r="L30" t="str">
        <f>IFERROR(_xlfn.XLOOKUP(A30,feature_catalog!A:A,feature_catalog!A:A),"")</f>
        <v>keyPasses</v>
      </c>
    </row>
    <row r="31" spans="1:12" x14ac:dyDescent="0.4">
      <c r="A31" t="s">
        <v>113</v>
      </c>
      <c r="B31" t="s">
        <v>114</v>
      </c>
      <c r="C31" t="s">
        <v>11</v>
      </c>
      <c r="D31" t="s">
        <v>115</v>
      </c>
      <c r="E31" t="s">
        <v>116</v>
      </c>
      <c r="F31" t="s">
        <v>96</v>
      </c>
      <c r="G31" t="b">
        <v>0</v>
      </c>
      <c r="H31" t="s">
        <v>117</v>
      </c>
      <c r="I31" t="s">
        <v>118</v>
      </c>
      <c r="J31" t="s">
        <v>113</v>
      </c>
      <c r="L31" t="str">
        <f>IFERROR(_xlfn.XLOOKUP(A31,feature_catalog!A:A,feature_catalog!A:A),"")</f>
        <v>expectedAssists</v>
      </c>
    </row>
    <row r="32" spans="1:12" x14ac:dyDescent="0.4">
      <c r="A32" t="s">
        <v>238</v>
      </c>
      <c r="B32" t="s">
        <v>239</v>
      </c>
      <c r="C32" t="s">
        <v>11</v>
      </c>
      <c r="D32" t="s">
        <v>240</v>
      </c>
      <c r="E32" t="s">
        <v>241</v>
      </c>
      <c r="F32" t="s">
        <v>242</v>
      </c>
      <c r="G32" t="b">
        <v>1</v>
      </c>
      <c r="H32" t="s">
        <v>243</v>
      </c>
      <c r="I32" t="s">
        <v>244</v>
      </c>
      <c r="J32" t="s">
        <v>238</v>
      </c>
      <c r="K32" s="7">
        <v>1</v>
      </c>
      <c r="L32" t="str">
        <f>IFERROR(_xlfn.XLOOKUP(A32,feature_catalog!A:A,feature_catalog!A:A),"")</f>
        <v>possessionLost</v>
      </c>
    </row>
    <row r="33" spans="1:12" x14ac:dyDescent="0.4">
      <c r="A33" t="s">
        <v>232</v>
      </c>
      <c r="B33" t="s">
        <v>233</v>
      </c>
      <c r="C33" t="s">
        <v>11</v>
      </c>
      <c r="D33" t="s">
        <v>234</v>
      </c>
      <c r="E33" t="s">
        <v>235</v>
      </c>
      <c r="F33" t="s">
        <v>216</v>
      </c>
      <c r="G33" t="b">
        <v>1</v>
      </c>
      <c r="H33" t="s">
        <v>236</v>
      </c>
      <c r="I33" t="s">
        <v>237</v>
      </c>
      <c r="J33" t="s">
        <v>232</v>
      </c>
      <c r="L33" t="str">
        <f>IFERROR(_xlfn.XLOOKUP(A33,feature_catalog!A:A,feature_catalog!A:A),"")</f>
        <v>dispossessed</v>
      </c>
    </row>
    <row r="34" spans="1:12" x14ac:dyDescent="0.4">
      <c r="A34" t="s">
        <v>484</v>
      </c>
      <c r="B34" t="s">
        <v>485</v>
      </c>
      <c r="C34" t="s">
        <v>486</v>
      </c>
      <c r="D34" t="s">
        <v>487</v>
      </c>
      <c r="E34" t="s">
        <v>488</v>
      </c>
      <c r="F34" t="s">
        <v>489</v>
      </c>
      <c r="G34" t="b">
        <v>0</v>
      </c>
      <c r="H34" t="s">
        <v>490</v>
      </c>
      <c r="I34" t="s">
        <v>491</v>
      </c>
      <c r="J34" t="s">
        <v>484</v>
      </c>
      <c r="L34" t="str">
        <f>IFERROR(_xlfn.XLOOKUP(A34,feature_catalog!A:A,feature_catalog!A:A),"")</f>
        <v>rating</v>
      </c>
    </row>
    <row r="35" spans="1:12" x14ac:dyDescent="0.4">
      <c r="A35" t="s">
        <v>632</v>
      </c>
      <c r="B35" t="s">
        <v>633</v>
      </c>
      <c r="C35" t="s">
        <v>486</v>
      </c>
      <c r="D35" t="s">
        <v>634</v>
      </c>
      <c r="E35" t="s">
        <v>635</v>
      </c>
      <c r="F35" t="s">
        <v>636</v>
      </c>
      <c r="G35" t="b">
        <v>0</v>
      </c>
      <c r="H35" t="s">
        <v>637</v>
      </c>
      <c r="I35" t="s">
        <v>638</v>
      </c>
      <c r="J35" t="s">
        <v>632</v>
      </c>
      <c r="L35" t="str">
        <f>IFERROR(_xlfn.XLOOKUP(A35,feature_catalog!A:A,feature_catalog!A:A),"")</f>
        <v>height</v>
      </c>
    </row>
    <row r="36" spans="1:12" x14ac:dyDescent="0.4">
      <c r="A36" t="s">
        <v>572</v>
      </c>
      <c r="B36" t="s">
        <v>573</v>
      </c>
      <c r="C36" t="s">
        <v>486</v>
      </c>
      <c r="D36" t="s">
        <v>574</v>
      </c>
      <c r="E36" t="s">
        <v>575</v>
      </c>
      <c r="F36" t="s">
        <v>489</v>
      </c>
      <c r="G36" t="b">
        <v>0</v>
      </c>
      <c r="H36" t="s">
        <v>576</v>
      </c>
      <c r="I36" t="s">
        <v>577</v>
      </c>
      <c r="J36" t="s">
        <v>572</v>
      </c>
      <c r="L36" t="str">
        <f>IFERROR(_xlfn.XLOOKUP(A36,feature_catalog!A:A,feature_catalog!A:A),"")</f>
        <v>averageX</v>
      </c>
    </row>
    <row r="37" spans="1:12" x14ac:dyDescent="0.4">
      <c r="A37" t="s">
        <v>578</v>
      </c>
      <c r="B37" t="s">
        <v>579</v>
      </c>
      <c r="C37" t="s">
        <v>486</v>
      </c>
      <c r="D37" t="s">
        <v>580</v>
      </c>
      <c r="E37" t="s">
        <v>581</v>
      </c>
      <c r="F37" t="s">
        <v>489</v>
      </c>
      <c r="G37" t="b">
        <v>0</v>
      </c>
      <c r="H37" t="s">
        <v>582</v>
      </c>
      <c r="I37" t="s">
        <v>583</v>
      </c>
      <c r="J37" t="s">
        <v>578</v>
      </c>
      <c r="L37" t="str">
        <f>IFERROR(_xlfn.XLOOKUP(A37,feature_catalog!A:A,feature_catalog!A:A),"")</f>
        <v>averageY</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1F61D-936D-4AE7-9D6D-C5277DBA2F07}">
  <dimension ref="A1:L37"/>
  <sheetViews>
    <sheetView topLeftCell="F1" workbookViewId="0">
      <pane ySplit="1" topLeftCell="A2" activePane="bottomLeft" state="frozen"/>
      <selection pane="bottomLeft" activeCell="L2" sqref="L2:L37"/>
    </sheetView>
  </sheetViews>
  <sheetFormatPr baseColWidth="10" defaultRowHeight="14.6" x14ac:dyDescent="0.4"/>
  <cols>
    <col min="1" max="1" width="25" bestFit="1" customWidth="1"/>
    <col min="2" max="2" width="18.53515625" bestFit="1" customWidth="1"/>
    <col min="3" max="3" width="4.4609375" bestFit="1" customWidth="1"/>
    <col min="4" max="4" width="234.3046875" bestFit="1" customWidth="1"/>
    <col min="5" max="5" width="148.3828125" bestFit="1" customWidth="1"/>
    <col min="6" max="6" width="20.15234375" bestFit="1" customWidth="1"/>
    <col min="7" max="7" width="7.765625" bestFit="1" customWidth="1"/>
    <col min="8" max="8" width="22.61328125" bestFit="1" customWidth="1"/>
    <col min="9" max="9" width="20.15234375" bestFit="1" customWidth="1"/>
    <col min="10" max="10" width="25" bestFit="1" customWidth="1"/>
    <col min="11" max="11" width="11" bestFit="1" customWidth="1"/>
  </cols>
  <sheetData>
    <row r="1" spans="1:12" x14ac:dyDescent="0.4">
      <c r="A1" s="2" t="s">
        <v>0</v>
      </c>
      <c r="B1" s="2" t="s">
        <v>1</v>
      </c>
      <c r="C1" s="2" t="s">
        <v>2</v>
      </c>
      <c r="D1" s="2" t="s">
        <v>3</v>
      </c>
      <c r="E1" s="2" t="s">
        <v>4</v>
      </c>
      <c r="F1" s="2" t="s">
        <v>5</v>
      </c>
      <c r="G1" s="2" t="s">
        <v>6</v>
      </c>
      <c r="H1" s="2" t="s">
        <v>7</v>
      </c>
      <c r="I1" s="2" t="s">
        <v>8</v>
      </c>
      <c r="J1" s="2" t="s">
        <v>0</v>
      </c>
      <c r="K1" s="2" t="s">
        <v>645</v>
      </c>
    </row>
    <row r="2" spans="1:12" x14ac:dyDescent="0.4">
      <c r="A2" t="s">
        <v>431</v>
      </c>
      <c r="B2" t="s">
        <v>432</v>
      </c>
      <c r="C2" t="s">
        <v>79</v>
      </c>
      <c r="D2" t="s">
        <v>433</v>
      </c>
      <c r="E2" t="s">
        <v>434</v>
      </c>
      <c r="F2" t="s">
        <v>435</v>
      </c>
      <c r="G2" t="b">
        <v>0</v>
      </c>
      <c r="H2" t="s">
        <v>436</v>
      </c>
      <c r="I2" t="s">
        <v>437</v>
      </c>
      <c r="J2" t="s">
        <v>431</v>
      </c>
      <c r="K2" s="7">
        <v>3</v>
      </c>
      <c r="L2" t="str">
        <f>IFERROR(_xlfn.XLOOKUP(A2,feature_catalog!A:A,feature_catalog!A:A),"")</f>
        <v>aerialDuelsWonPercentage</v>
      </c>
    </row>
    <row r="3" spans="1:12" x14ac:dyDescent="0.4">
      <c r="A3" t="s">
        <v>424</v>
      </c>
      <c r="B3" t="s">
        <v>425</v>
      </c>
      <c r="C3" t="s">
        <v>11</v>
      </c>
      <c r="D3" t="s">
        <v>426</v>
      </c>
      <c r="E3" t="s">
        <v>427</v>
      </c>
      <c r="F3" t="s">
        <v>428</v>
      </c>
      <c r="G3" t="b">
        <v>0</v>
      </c>
      <c r="H3" t="s">
        <v>429</v>
      </c>
      <c r="I3" t="s">
        <v>430</v>
      </c>
      <c r="J3" t="s">
        <v>424</v>
      </c>
      <c r="K3" s="7"/>
      <c r="L3" t="str">
        <f>IFERROR(_xlfn.XLOOKUP(A3,feature_catalog!A:A,feature_catalog!A:A),"")</f>
        <v>aerialDuelsWon</v>
      </c>
    </row>
    <row r="4" spans="1:12" x14ac:dyDescent="0.4">
      <c r="A4" t="s">
        <v>418</v>
      </c>
      <c r="B4" t="s">
        <v>419</v>
      </c>
      <c r="C4" t="s">
        <v>79</v>
      </c>
      <c r="D4" t="s">
        <v>420</v>
      </c>
      <c r="E4" t="s">
        <v>421</v>
      </c>
      <c r="F4" t="s">
        <v>415</v>
      </c>
      <c r="G4" t="b">
        <v>0</v>
      </c>
      <c r="H4" t="s">
        <v>422</v>
      </c>
      <c r="I4" t="s">
        <v>423</v>
      </c>
      <c r="J4" t="s">
        <v>418</v>
      </c>
      <c r="K4" s="7">
        <v>2.5</v>
      </c>
      <c r="L4" t="str">
        <f>IFERROR(_xlfn.XLOOKUP(A4,feature_catalog!A:A,feature_catalog!A:A),"")</f>
        <v>groundDuelsWonPercentage</v>
      </c>
    </row>
    <row r="5" spans="1:12" x14ac:dyDescent="0.4">
      <c r="A5" t="s">
        <v>411</v>
      </c>
      <c r="B5" t="s">
        <v>412</v>
      </c>
      <c r="C5" t="s">
        <v>11</v>
      </c>
      <c r="D5" t="s">
        <v>413</v>
      </c>
      <c r="E5" t="s">
        <v>414</v>
      </c>
      <c r="F5" t="s">
        <v>415</v>
      </c>
      <c r="G5" t="b">
        <v>0</v>
      </c>
      <c r="H5" t="s">
        <v>416</v>
      </c>
      <c r="I5" t="s">
        <v>417</v>
      </c>
      <c r="J5" t="s">
        <v>411</v>
      </c>
      <c r="K5" s="7"/>
      <c r="L5" t="str">
        <f>IFERROR(_xlfn.XLOOKUP(A5,feature_catalog!A:A,feature_catalog!A:A),"")</f>
        <v>groundDuelsWon</v>
      </c>
    </row>
    <row r="6" spans="1:12" x14ac:dyDescent="0.4">
      <c r="A6" t="s">
        <v>404</v>
      </c>
      <c r="B6" t="s">
        <v>405</v>
      </c>
      <c r="C6" t="s">
        <v>79</v>
      </c>
      <c r="D6" t="s">
        <v>406</v>
      </c>
      <c r="E6" t="s">
        <v>407</v>
      </c>
      <c r="F6" t="s">
        <v>408</v>
      </c>
      <c r="G6" t="b">
        <v>0</v>
      </c>
      <c r="H6" t="s">
        <v>409</v>
      </c>
      <c r="I6" t="s">
        <v>410</v>
      </c>
      <c r="J6" t="s">
        <v>404</v>
      </c>
      <c r="K6" s="7"/>
      <c r="L6" t="str">
        <f>IFERROR(_xlfn.XLOOKUP(A6,feature_catalog!A:A,feature_catalog!A:A),"")</f>
        <v>_duels_won_pct</v>
      </c>
    </row>
    <row r="7" spans="1:12" x14ac:dyDescent="0.4">
      <c r="A7" t="s">
        <v>397</v>
      </c>
      <c r="B7" t="s">
        <v>398</v>
      </c>
      <c r="C7" t="s">
        <v>11</v>
      </c>
      <c r="D7" t="s">
        <v>399</v>
      </c>
      <c r="E7" t="s">
        <v>400</v>
      </c>
      <c r="F7" t="s">
        <v>401</v>
      </c>
      <c r="G7" t="b">
        <v>0</v>
      </c>
      <c r="H7" t="s">
        <v>402</v>
      </c>
      <c r="I7" t="s">
        <v>403</v>
      </c>
      <c r="J7" t="s">
        <v>397</v>
      </c>
      <c r="K7" s="7"/>
      <c r="L7" t="str">
        <f>IFERROR(_xlfn.XLOOKUP(A7,feature_catalog!A:A,feature_catalog!A:A),"")</f>
        <v>_duels_won_p90</v>
      </c>
    </row>
    <row r="8" spans="1:12" x14ac:dyDescent="0.4">
      <c r="A8" t="s">
        <v>358</v>
      </c>
      <c r="B8" t="s">
        <v>359</v>
      </c>
      <c r="C8" t="s">
        <v>79</v>
      </c>
      <c r="D8" t="s">
        <v>360</v>
      </c>
      <c r="E8" t="s">
        <v>361</v>
      </c>
      <c r="F8" t="s">
        <v>349</v>
      </c>
      <c r="G8" t="b">
        <v>0</v>
      </c>
      <c r="H8" t="s">
        <v>362</v>
      </c>
      <c r="I8" t="s">
        <v>363</v>
      </c>
      <c r="J8" t="s">
        <v>358</v>
      </c>
      <c r="K8" s="7"/>
      <c r="L8" t="str">
        <f>IFERROR(_xlfn.XLOOKUP(A8,feature_catalog!A:A,feature_catalog!A:A),"")</f>
        <v>_tackle_success_pct</v>
      </c>
    </row>
    <row r="9" spans="1:12" x14ac:dyDescent="0.4">
      <c r="A9" t="s">
        <v>345</v>
      </c>
      <c r="B9" t="s">
        <v>346</v>
      </c>
      <c r="C9" t="s">
        <v>11</v>
      </c>
      <c r="D9" t="s">
        <v>347</v>
      </c>
      <c r="E9" t="s">
        <v>348</v>
      </c>
      <c r="F9" t="s">
        <v>349</v>
      </c>
      <c r="G9" t="b">
        <v>0</v>
      </c>
      <c r="H9" t="s">
        <v>350</v>
      </c>
      <c r="I9" t="s">
        <v>351</v>
      </c>
      <c r="J9" t="s">
        <v>345</v>
      </c>
      <c r="K9" s="7"/>
      <c r="L9" t="str">
        <f>IFERROR(_xlfn.XLOOKUP(A9,feature_catalog!A:A,feature_catalog!A:A),"")</f>
        <v>tackles</v>
      </c>
    </row>
    <row r="10" spans="1:12" x14ac:dyDescent="0.4">
      <c r="A10" t="s">
        <v>352</v>
      </c>
      <c r="B10" t="s">
        <v>353</v>
      </c>
      <c r="C10" t="s">
        <v>11</v>
      </c>
      <c r="D10" t="s">
        <v>354</v>
      </c>
      <c r="E10" t="s">
        <v>355</v>
      </c>
      <c r="F10" t="s">
        <v>349</v>
      </c>
      <c r="G10" t="b">
        <v>0</v>
      </c>
      <c r="H10" t="s">
        <v>356</v>
      </c>
      <c r="I10" t="s">
        <v>357</v>
      </c>
      <c r="J10" t="s">
        <v>352</v>
      </c>
      <c r="K10" s="7"/>
      <c r="L10" t="str">
        <f>IFERROR(_xlfn.XLOOKUP(A10,feature_catalog!A:A,feature_catalog!A:A),"")</f>
        <v>tacklesWon</v>
      </c>
    </row>
    <row r="11" spans="1:12" x14ac:dyDescent="0.4">
      <c r="A11" t="s">
        <v>364</v>
      </c>
      <c r="B11" t="s">
        <v>365</v>
      </c>
      <c r="C11" t="s">
        <v>11</v>
      </c>
      <c r="D11" t="s">
        <v>366</v>
      </c>
      <c r="E11" t="s">
        <v>367</v>
      </c>
      <c r="F11" t="s">
        <v>349</v>
      </c>
      <c r="G11" t="b">
        <v>0</v>
      </c>
      <c r="H11" t="s">
        <v>368</v>
      </c>
      <c r="I11" t="s">
        <v>369</v>
      </c>
      <c r="J11" t="s">
        <v>364</v>
      </c>
      <c r="K11" s="7">
        <v>1</v>
      </c>
      <c r="L11" t="str">
        <f>IFERROR(_xlfn.XLOOKUP(A11,feature_catalog!A:A,feature_catalog!A:A),"")</f>
        <v>interceptions</v>
      </c>
    </row>
    <row r="12" spans="1:12" x14ac:dyDescent="0.4">
      <c r="A12" t="s">
        <v>370</v>
      </c>
      <c r="B12" t="s">
        <v>371</v>
      </c>
      <c r="C12" t="s">
        <v>11</v>
      </c>
      <c r="D12" t="s">
        <v>372</v>
      </c>
      <c r="E12" t="s">
        <v>373</v>
      </c>
      <c r="F12" t="s">
        <v>374</v>
      </c>
      <c r="G12" t="b">
        <v>0</v>
      </c>
      <c r="H12" t="s">
        <v>375</v>
      </c>
      <c r="I12" t="s">
        <v>376</v>
      </c>
      <c r="J12" t="s">
        <v>370</v>
      </c>
      <c r="K12" s="7"/>
      <c r="L12" t="str">
        <f>IFERROR(_xlfn.XLOOKUP(A12,feature_catalog!A:A,feature_catalog!A:A),"")</f>
        <v>clearances</v>
      </c>
    </row>
    <row r="13" spans="1:12" x14ac:dyDescent="0.4">
      <c r="A13" t="s">
        <v>377</v>
      </c>
      <c r="B13" t="s">
        <v>378</v>
      </c>
      <c r="C13" t="s">
        <v>11</v>
      </c>
      <c r="D13" t="s">
        <v>379</v>
      </c>
      <c r="E13" t="s">
        <v>380</v>
      </c>
      <c r="F13" t="s">
        <v>381</v>
      </c>
      <c r="G13" t="b">
        <v>0</v>
      </c>
      <c r="H13" t="s">
        <v>382</v>
      </c>
      <c r="I13" t="s">
        <v>383</v>
      </c>
      <c r="J13" t="s">
        <v>377</v>
      </c>
      <c r="K13" s="7"/>
      <c r="L13" t="str">
        <f>IFERROR(_xlfn.XLOOKUP(A13,feature_catalog!A:A,feature_catalog!A:A),"")</f>
        <v/>
      </c>
    </row>
    <row r="14" spans="1:12" x14ac:dyDescent="0.4">
      <c r="A14" t="s">
        <v>384</v>
      </c>
      <c r="B14" t="s">
        <v>385</v>
      </c>
      <c r="C14" t="s">
        <v>11</v>
      </c>
      <c r="D14" t="s">
        <v>386</v>
      </c>
      <c r="E14" t="s">
        <v>387</v>
      </c>
      <c r="F14" t="s">
        <v>388</v>
      </c>
      <c r="G14" t="b">
        <v>0</v>
      </c>
      <c r="H14" t="s">
        <v>389</v>
      </c>
      <c r="I14" t="s">
        <v>390</v>
      </c>
      <c r="J14" t="s">
        <v>384</v>
      </c>
      <c r="K14" s="7"/>
      <c r="L14" t="str">
        <f>IFERROR(_xlfn.XLOOKUP(A14,feature_catalog!A:A,feature_catalog!A:A),"")</f>
        <v>blockedShots</v>
      </c>
    </row>
    <row r="15" spans="1:12" x14ac:dyDescent="0.4">
      <c r="A15" t="s">
        <v>315</v>
      </c>
      <c r="B15" t="s">
        <v>316</v>
      </c>
      <c r="C15" t="s">
        <v>11</v>
      </c>
      <c r="D15" t="s">
        <v>317</v>
      </c>
      <c r="E15" t="s">
        <v>318</v>
      </c>
      <c r="F15" t="s">
        <v>319</v>
      </c>
      <c r="G15" t="b">
        <v>0</v>
      </c>
      <c r="H15" t="s">
        <v>320</v>
      </c>
      <c r="I15" t="s">
        <v>321</v>
      </c>
      <c r="J15" t="s">
        <v>315</v>
      </c>
      <c r="K15" s="7"/>
      <c r="L15" t="str">
        <f>IFERROR(_xlfn.XLOOKUP(A15,feature_catalog!A:A,feature_catalog!A:A),"")</f>
        <v>outfielderBlocks</v>
      </c>
    </row>
    <row r="16" spans="1:12" x14ac:dyDescent="0.4">
      <c r="A16" t="s">
        <v>258</v>
      </c>
      <c r="B16" t="s">
        <v>259</v>
      </c>
      <c r="C16" t="s">
        <v>11</v>
      </c>
      <c r="D16" t="s">
        <v>260</v>
      </c>
      <c r="E16" t="s">
        <v>261</v>
      </c>
      <c r="F16" t="s">
        <v>262</v>
      </c>
      <c r="G16" t="b">
        <v>0</v>
      </c>
      <c r="H16" t="s">
        <v>263</v>
      </c>
      <c r="I16" t="s">
        <v>264</v>
      </c>
      <c r="J16" t="s">
        <v>258</v>
      </c>
      <c r="K16" s="7"/>
      <c r="L16" t="str">
        <f>IFERROR(_xlfn.XLOOKUP(A16,feature_catalog!A:A,feature_catalog!A:A),"")</f>
        <v>ballRecovery</v>
      </c>
    </row>
    <row r="17" spans="1:12" x14ac:dyDescent="0.4">
      <c r="A17" t="s">
        <v>268</v>
      </c>
      <c r="B17" t="s">
        <v>269</v>
      </c>
      <c r="C17" t="s">
        <v>11</v>
      </c>
      <c r="D17" t="s">
        <v>270</v>
      </c>
      <c r="E17" t="s">
        <v>271</v>
      </c>
      <c r="F17" t="s">
        <v>272</v>
      </c>
      <c r="G17" t="b">
        <v>1</v>
      </c>
      <c r="H17" t="s">
        <v>273</v>
      </c>
      <c r="I17" t="s">
        <v>274</v>
      </c>
      <c r="J17" t="s">
        <v>268</v>
      </c>
      <c r="K17" s="7">
        <v>1.5</v>
      </c>
      <c r="L17" t="str">
        <f>IFERROR(_xlfn.XLOOKUP(A17,feature_catalog!A:A,feature_catalog!A:A),"")</f>
        <v>dribbledPast</v>
      </c>
    </row>
    <row r="18" spans="1:12" x14ac:dyDescent="0.4">
      <c r="A18" t="s">
        <v>245</v>
      </c>
      <c r="B18" t="s">
        <v>246</v>
      </c>
      <c r="C18" t="s">
        <v>11</v>
      </c>
      <c r="D18" t="s">
        <v>247</v>
      </c>
      <c r="E18" t="s">
        <v>248</v>
      </c>
      <c r="F18" t="s">
        <v>249</v>
      </c>
      <c r="G18" t="b">
        <v>0</v>
      </c>
      <c r="H18" t="s">
        <v>250</v>
      </c>
      <c r="I18" t="s">
        <v>251</v>
      </c>
      <c r="J18" t="s">
        <v>245</v>
      </c>
      <c r="K18" s="7"/>
      <c r="L18" t="str">
        <f>IFERROR(_xlfn.XLOOKUP(A18,feature_catalog!A:A,feature_catalog!A:A),"")</f>
        <v>possessionWonAttThird</v>
      </c>
    </row>
    <row r="19" spans="1:12" x14ac:dyDescent="0.4">
      <c r="A19" t="s">
        <v>329</v>
      </c>
      <c r="B19" t="s">
        <v>330</v>
      </c>
      <c r="C19" t="s">
        <v>11</v>
      </c>
      <c r="D19" t="s">
        <v>331</v>
      </c>
      <c r="E19" t="s">
        <v>332</v>
      </c>
      <c r="F19" t="s">
        <v>333</v>
      </c>
      <c r="G19" t="b">
        <v>1</v>
      </c>
      <c r="H19" t="s">
        <v>334</v>
      </c>
      <c r="I19" t="s">
        <v>335</v>
      </c>
      <c r="J19" t="s">
        <v>329</v>
      </c>
      <c r="K19" s="7"/>
      <c r="L19" t="str">
        <f>IFERROR(_xlfn.XLOOKUP(A19,feature_catalog!A:A,feature_catalog!A:A),"")</f>
        <v>errorLeadToGoal</v>
      </c>
    </row>
    <row r="20" spans="1:12" x14ac:dyDescent="0.4">
      <c r="A20" t="s">
        <v>336</v>
      </c>
      <c r="B20" t="s">
        <v>337</v>
      </c>
      <c r="C20" t="s">
        <v>11</v>
      </c>
      <c r="D20" t="s">
        <v>338</v>
      </c>
      <c r="E20" t="s">
        <v>339</v>
      </c>
      <c r="F20" t="s">
        <v>333</v>
      </c>
      <c r="G20" t="b">
        <v>1</v>
      </c>
      <c r="H20" t="s">
        <v>340</v>
      </c>
      <c r="I20" t="s">
        <v>341</v>
      </c>
      <c r="J20" t="s">
        <v>336</v>
      </c>
      <c r="K20" s="7">
        <v>1.5</v>
      </c>
      <c r="L20" t="str">
        <f>IFERROR(_xlfn.XLOOKUP(A20,feature_catalog!A:A,feature_catalog!A:A),"")</f>
        <v>errorLeadToShot</v>
      </c>
    </row>
    <row r="21" spans="1:12" x14ac:dyDescent="0.4">
      <c r="A21" t="s">
        <v>302</v>
      </c>
      <c r="B21" t="s">
        <v>303</v>
      </c>
      <c r="C21" t="s">
        <v>11</v>
      </c>
      <c r="D21" t="s">
        <v>304</v>
      </c>
      <c r="E21" t="s">
        <v>305</v>
      </c>
      <c r="F21" t="s">
        <v>306</v>
      </c>
      <c r="G21" t="b">
        <v>1</v>
      </c>
      <c r="H21" t="s">
        <v>307</v>
      </c>
      <c r="I21" t="s">
        <v>308</v>
      </c>
      <c r="J21" t="s">
        <v>302</v>
      </c>
      <c r="K21" s="7"/>
      <c r="L21" t="str">
        <f>IFERROR(_xlfn.XLOOKUP(A21,feature_catalog!A:A,feature_catalog!A:A),"")</f>
        <v>fouls</v>
      </c>
    </row>
    <row r="22" spans="1:12" x14ac:dyDescent="0.4">
      <c r="A22" t="s">
        <v>309</v>
      </c>
      <c r="B22" t="s">
        <v>310</v>
      </c>
      <c r="C22" t="s">
        <v>11</v>
      </c>
      <c r="D22" t="s">
        <v>311</v>
      </c>
      <c r="E22" t="s">
        <v>312</v>
      </c>
      <c r="F22" t="s">
        <v>272</v>
      </c>
      <c r="G22" t="b">
        <v>1</v>
      </c>
      <c r="H22" t="s">
        <v>313</v>
      </c>
      <c r="I22" t="s">
        <v>314</v>
      </c>
      <c r="J22" t="s">
        <v>309</v>
      </c>
      <c r="K22" s="7">
        <f>_xlfn.XLOOKUP(J22,defenseur_central!J:J,defenseur_central!K:K)</f>
        <v>0</v>
      </c>
      <c r="L22" t="str">
        <f>IFERROR(_xlfn.XLOOKUP(A22,feature_catalog!A:A,feature_catalog!A:A),"")</f>
        <v>penaltyConceded</v>
      </c>
    </row>
    <row r="23" spans="1:12" x14ac:dyDescent="0.4">
      <c r="A23" t="s">
        <v>159</v>
      </c>
      <c r="B23" t="s">
        <v>160</v>
      </c>
      <c r="C23" t="s">
        <v>79</v>
      </c>
      <c r="D23" t="s">
        <v>161</v>
      </c>
      <c r="E23" t="s">
        <v>162</v>
      </c>
      <c r="F23" t="s">
        <v>163</v>
      </c>
      <c r="G23" t="b">
        <v>0</v>
      </c>
      <c r="H23" t="s">
        <v>164</v>
      </c>
      <c r="I23" t="s">
        <v>165</v>
      </c>
      <c r="J23" t="s">
        <v>159</v>
      </c>
      <c r="K23" s="7">
        <v>1</v>
      </c>
      <c r="L23" t="str">
        <f>IFERROR(_xlfn.XLOOKUP(A23,feature_catalog!A:A,feature_catalog!A:A),"")</f>
        <v>accuratePassesPercentage</v>
      </c>
    </row>
    <row r="24" spans="1:12" x14ac:dyDescent="0.4">
      <c r="A24" t="s">
        <v>173</v>
      </c>
      <c r="B24" t="s">
        <v>174</v>
      </c>
      <c r="C24" t="s">
        <v>79</v>
      </c>
      <c r="D24" t="s">
        <v>175</v>
      </c>
      <c r="E24" t="s">
        <v>176</v>
      </c>
      <c r="F24" t="s">
        <v>170</v>
      </c>
      <c r="G24" t="b">
        <v>0</v>
      </c>
      <c r="H24" t="s">
        <v>177</v>
      </c>
      <c r="I24" t="s">
        <v>178</v>
      </c>
      <c r="J24" t="s">
        <v>173</v>
      </c>
      <c r="K24" s="7"/>
      <c r="L24" t="str">
        <f>IFERROR(_xlfn.XLOOKUP(A24,feature_catalog!A:A,feature_catalog!A:A),"")</f>
        <v>accurateLongBallsPercentage</v>
      </c>
    </row>
    <row r="25" spans="1:12" x14ac:dyDescent="0.4">
      <c r="A25" t="s">
        <v>166</v>
      </c>
      <c r="B25" t="s">
        <v>167</v>
      </c>
      <c r="C25" t="s">
        <v>11</v>
      </c>
      <c r="D25" t="s">
        <v>168</v>
      </c>
      <c r="E25" t="s">
        <v>169</v>
      </c>
      <c r="F25" t="s">
        <v>170</v>
      </c>
      <c r="G25" t="b">
        <v>0</v>
      </c>
      <c r="H25" t="s">
        <v>171</v>
      </c>
      <c r="I25" t="s">
        <v>172</v>
      </c>
      <c r="J25" t="s">
        <v>166</v>
      </c>
      <c r="K25" s="7"/>
      <c r="L25" t="str">
        <f>IFERROR(_xlfn.XLOOKUP(A25,feature_catalog!A:A,feature_catalog!A:A),"")</f>
        <v>accurateLongBalls</v>
      </c>
    </row>
    <row r="26" spans="1:12" x14ac:dyDescent="0.4">
      <c r="A26" t="s">
        <v>238</v>
      </c>
      <c r="B26" t="s">
        <v>239</v>
      </c>
      <c r="C26" t="s">
        <v>11</v>
      </c>
      <c r="D26" t="s">
        <v>240</v>
      </c>
      <c r="E26" t="s">
        <v>241</v>
      </c>
      <c r="F26" t="s">
        <v>242</v>
      </c>
      <c r="G26" t="b">
        <v>1</v>
      </c>
      <c r="H26" t="s">
        <v>243</v>
      </c>
      <c r="I26" t="s">
        <v>244</v>
      </c>
      <c r="J26" t="s">
        <v>238</v>
      </c>
      <c r="K26" s="7"/>
      <c r="L26" t="str">
        <f>IFERROR(_xlfn.XLOOKUP(A26,feature_catalog!A:A,feature_catalog!A:A),"")</f>
        <v>possessionLost</v>
      </c>
    </row>
    <row r="27" spans="1:12" x14ac:dyDescent="0.4">
      <c r="A27" t="s">
        <v>58</v>
      </c>
      <c r="B27" t="s">
        <v>59</v>
      </c>
      <c r="C27" t="s">
        <v>11</v>
      </c>
      <c r="D27" t="s">
        <v>60</v>
      </c>
      <c r="E27" t="s">
        <v>61</v>
      </c>
      <c r="F27" t="s">
        <v>62</v>
      </c>
      <c r="G27" t="b">
        <v>0</v>
      </c>
      <c r="H27" t="s">
        <v>63</v>
      </c>
      <c r="I27" t="s">
        <v>64</v>
      </c>
      <c r="J27" t="s">
        <v>58</v>
      </c>
      <c r="K27" s="7"/>
      <c r="L27" t="str">
        <f>IFERROR(_xlfn.XLOOKUP(A27,feature_catalog!A:A,feature_catalog!A:A),"")</f>
        <v>headedGoals</v>
      </c>
    </row>
    <row r="28" spans="1:12" x14ac:dyDescent="0.4">
      <c r="A28" t="s">
        <v>484</v>
      </c>
      <c r="B28" t="s">
        <v>485</v>
      </c>
      <c r="C28" t="s">
        <v>486</v>
      </c>
      <c r="D28" t="s">
        <v>487</v>
      </c>
      <c r="E28" t="s">
        <v>488</v>
      </c>
      <c r="F28" t="s">
        <v>489</v>
      </c>
      <c r="G28" t="b">
        <v>0</v>
      </c>
      <c r="H28" t="s">
        <v>490</v>
      </c>
      <c r="I28" t="s">
        <v>491</v>
      </c>
      <c r="J28" t="s">
        <v>484</v>
      </c>
      <c r="K28" s="7"/>
      <c r="L28" t="str">
        <f>IFERROR(_xlfn.XLOOKUP(A28,feature_catalog!A:A,feature_catalog!A:A),"")</f>
        <v>rating</v>
      </c>
    </row>
    <row r="29" spans="1:12" x14ac:dyDescent="0.4">
      <c r="A29" t="s">
        <v>632</v>
      </c>
      <c r="B29" t="s">
        <v>633</v>
      </c>
      <c r="C29" t="s">
        <v>486</v>
      </c>
      <c r="D29" t="s">
        <v>634</v>
      </c>
      <c r="E29" t="s">
        <v>635</v>
      </c>
      <c r="F29" t="s">
        <v>636</v>
      </c>
      <c r="G29" t="b">
        <v>0</v>
      </c>
      <c r="H29" t="s">
        <v>637</v>
      </c>
      <c r="I29" t="s">
        <v>638</v>
      </c>
      <c r="J29" t="s">
        <v>632</v>
      </c>
      <c r="K29" s="7"/>
      <c r="L29" t="str">
        <f>IFERROR(_xlfn.XLOOKUP(A29,feature_catalog!A:A,feature_catalog!A:A),"")</f>
        <v>height</v>
      </c>
    </row>
    <row r="30" spans="1:12" x14ac:dyDescent="0.4">
      <c r="A30" t="s">
        <v>572</v>
      </c>
      <c r="B30" t="s">
        <v>573</v>
      </c>
      <c r="C30" t="s">
        <v>486</v>
      </c>
      <c r="D30" t="s">
        <v>574</v>
      </c>
      <c r="E30" t="s">
        <v>575</v>
      </c>
      <c r="F30" t="s">
        <v>489</v>
      </c>
      <c r="G30" t="b">
        <v>0</v>
      </c>
      <c r="H30" t="s">
        <v>576</v>
      </c>
      <c r="I30" t="s">
        <v>577</v>
      </c>
      <c r="J30" t="s">
        <v>572</v>
      </c>
      <c r="K30" s="7"/>
      <c r="L30" t="str">
        <f>IFERROR(_xlfn.XLOOKUP(A30,feature_catalog!A:A,feature_catalog!A:A),"")</f>
        <v>averageX</v>
      </c>
    </row>
    <row r="31" spans="1:12" x14ac:dyDescent="0.4">
      <c r="A31" t="s">
        <v>578</v>
      </c>
      <c r="B31" t="s">
        <v>579</v>
      </c>
      <c r="C31" t="s">
        <v>486</v>
      </c>
      <c r="D31" t="s">
        <v>580</v>
      </c>
      <c r="E31" t="s">
        <v>581</v>
      </c>
      <c r="F31" t="s">
        <v>489</v>
      </c>
      <c r="G31" t="b">
        <v>0</v>
      </c>
      <c r="H31" t="s">
        <v>582</v>
      </c>
      <c r="I31" t="s">
        <v>583</v>
      </c>
      <c r="J31" t="s">
        <v>578</v>
      </c>
      <c r="K31" s="7"/>
      <c r="L31" t="str">
        <f>IFERROR(_xlfn.XLOOKUP(A31,feature_catalog!A:A,feature_catalog!A:A),"")</f>
        <v>averageY</v>
      </c>
    </row>
    <row r="32" spans="1:12" x14ac:dyDescent="0.4">
      <c r="L32">
        <f>IFERROR(_xlfn.XLOOKUP(A32,feature_catalog!A:A,feature_catalog!A:A),"")</f>
        <v>0</v>
      </c>
    </row>
    <row r="33" spans="12:12" x14ac:dyDescent="0.4">
      <c r="L33">
        <f>IFERROR(_xlfn.XLOOKUP(A33,feature_catalog!A:A,feature_catalog!A:A),"")</f>
        <v>0</v>
      </c>
    </row>
    <row r="34" spans="12:12" x14ac:dyDescent="0.4">
      <c r="L34">
        <f>IFERROR(_xlfn.XLOOKUP(A34,feature_catalog!A:A,feature_catalog!A:A),"")</f>
        <v>0</v>
      </c>
    </row>
    <row r="35" spans="12:12" x14ac:dyDescent="0.4">
      <c r="L35">
        <f>IFERROR(_xlfn.XLOOKUP(A35,feature_catalog!A:A,feature_catalog!A:A),"")</f>
        <v>0</v>
      </c>
    </row>
    <row r="36" spans="12:12" x14ac:dyDescent="0.4">
      <c r="L36">
        <f>IFERROR(_xlfn.XLOOKUP(A36,feature_catalog!A:A,feature_catalog!A:A),"")</f>
        <v>0</v>
      </c>
    </row>
    <row r="37" spans="12:12" x14ac:dyDescent="0.4">
      <c r="L37">
        <f>IFERROR(_xlfn.XLOOKUP(A37,feature_catalog!A:A,feature_catalog!A:A),"")</f>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8B2E6-8A96-449C-8891-88D3D24264B8}">
  <dimension ref="A1:L37"/>
  <sheetViews>
    <sheetView topLeftCell="E1" workbookViewId="0">
      <pane ySplit="1" topLeftCell="A7" activePane="bottomLeft" state="frozen"/>
      <selection pane="bottomLeft" activeCell="L2" sqref="L2:L37"/>
    </sheetView>
  </sheetViews>
  <sheetFormatPr baseColWidth="10" defaultRowHeight="14.6" x14ac:dyDescent="0.4"/>
  <cols>
    <col min="1" max="1" width="25" bestFit="1" customWidth="1"/>
    <col min="2" max="2" width="18.53515625" bestFit="1" customWidth="1"/>
    <col min="3" max="3" width="4.4609375" bestFit="1" customWidth="1"/>
    <col min="4" max="4" width="234.3046875" bestFit="1" customWidth="1"/>
    <col min="5" max="5" width="148.3828125" bestFit="1" customWidth="1"/>
    <col min="6" max="6" width="20.15234375" bestFit="1" customWidth="1"/>
    <col min="7" max="7" width="7.765625" bestFit="1" customWidth="1"/>
    <col min="8" max="8" width="22.61328125" bestFit="1" customWidth="1"/>
    <col min="9" max="9" width="20.15234375" bestFit="1" customWidth="1"/>
    <col min="10" max="10" width="25" bestFit="1" customWidth="1"/>
    <col min="11" max="11" width="11" bestFit="1" customWidth="1"/>
  </cols>
  <sheetData>
    <row r="1" spans="1:12" x14ac:dyDescent="0.4">
      <c r="A1" s="2" t="s">
        <v>0</v>
      </c>
      <c r="B1" s="2" t="s">
        <v>1</v>
      </c>
      <c r="C1" s="2" t="s">
        <v>2</v>
      </c>
      <c r="D1" s="2" t="s">
        <v>3</v>
      </c>
      <c r="E1" s="2" t="s">
        <v>4</v>
      </c>
      <c r="F1" s="2" t="s">
        <v>5</v>
      </c>
      <c r="G1" s="2" t="s">
        <v>6</v>
      </c>
      <c r="H1" s="2" t="s">
        <v>7</v>
      </c>
      <c r="I1" s="2" t="s">
        <v>8</v>
      </c>
      <c r="J1" s="2" t="s">
        <v>0</v>
      </c>
      <c r="K1" s="2" t="s">
        <v>645</v>
      </c>
    </row>
    <row r="2" spans="1:12" x14ac:dyDescent="0.4">
      <c r="A2" t="s">
        <v>364</v>
      </c>
      <c r="B2" t="s">
        <v>365</v>
      </c>
      <c r="C2" t="s">
        <v>11</v>
      </c>
      <c r="D2" t="s">
        <v>366</v>
      </c>
      <c r="E2" t="s">
        <v>367</v>
      </c>
      <c r="F2" t="s">
        <v>349</v>
      </c>
      <c r="G2" t="b">
        <v>0</v>
      </c>
      <c r="H2" t="s">
        <v>368</v>
      </c>
      <c r="I2" t="s">
        <v>369</v>
      </c>
      <c r="J2" t="s">
        <v>364</v>
      </c>
      <c r="K2" s="7">
        <v>3</v>
      </c>
      <c r="L2" t="str">
        <f>IFERROR(_xlfn.XLOOKUP(A2,feature_catalog!A:A,feature_catalog!A:A),"")</f>
        <v>interceptions</v>
      </c>
    </row>
    <row r="3" spans="1:12" x14ac:dyDescent="0.4">
      <c r="A3" t="s">
        <v>258</v>
      </c>
      <c r="B3" t="s">
        <v>259</v>
      </c>
      <c r="C3" t="s">
        <v>11</v>
      </c>
      <c r="D3" t="s">
        <v>260</v>
      </c>
      <c r="E3" t="s">
        <v>261</v>
      </c>
      <c r="F3" t="s">
        <v>262</v>
      </c>
      <c r="G3" t="b">
        <v>0</v>
      </c>
      <c r="H3" t="s">
        <v>263</v>
      </c>
      <c r="I3" t="s">
        <v>264</v>
      </c>
      <c r="J3" t="s">
        <v>258</v>
      </c>
      <c r="K3" s="7">
        <v>2</v>
      </c>
      <c r="L3" t="str">
        <f>IFERROR(_xlfn.XLOOKUP(A3,feature_catalog!A:A,feature_catalog!A:A),"")</f>
        <v>ballRecovery</v>
      </c>
    </row>
    <row r="4" spans="1:12" x14ac:dyDescent="0.4">
      <c r="A4" t="s">
        <v>370</v>
      </c>
      <c r="B4" t="s">
        <v>371</v>
      </c>
      <c r="C4" t="s">
        <v>11</v>
      </c>
      <c r="D4" t="s">
        <v>372</v>
      </c>
      <c r="E4" t="s">
        <v>373</v>
      </c>
      <c r="F4" t="s">
        <v>374</v>
      </c>
      <c r="G4" t="b">
        <v>0</v>
      </c>
      <c r="H4" t="s">
        <v>375</v>
      </c>
      <c r="I4" t="s">
        <v>376</v>
      </c>
      <c r="J4" t="s">
        <v>370</v>
      </c>
      <c r="K4" s="7"/>
      <c r="L4" t="str">
        <f>IFERROR(_xlfn.XLOOKUP(A4,feature_catalog!A:A,feature_catalog!A:A),"")</f>
        <v>clearances</v>
      </c>
    </row>
    <row r="5" spans="1:12" x14ac:dyDescent="0.4">
      <c r="A5" t="s">
        <v>377</v>
      </c>
      <c r="B5" t="s">
        <v>378</v>
      </c>
      <c r="C5" t="s">
        <v>11</v>
      </c>
      <c r="D5" t="s">
        <v>379</v>
      </c>
      <c r="E5" t="s">
        <v>380</v>
      </c>
      <c r="F5" t="s">
        <v>381</v>
      </c>
      <c r="G5" t="b">
        <v>0</v>
      </c>
      <c r="H5" t="s">
        <v>382</v>
      </c>
      <c r="I5" t="s">
        <v>383</v>
      </c>
      <c r="J5" t="s">
        <v>377</v>
      </c>
      <c r="K5" s="7"/>
      <c r="L5" t="str">
        <f>IFERROR(_xlfn.XLOOKUP(A5,feature_catalog!A:A,feature_catalog!A:A),"")</f>
        <v/>
      </c>
    </row>
    <row r="6" spans="1:12" x14ac:dyDescent="0.4">
      <c r="A6" t="s">
        <v>384</v>
      </c>
      <c r="B6" t="s">
        <v>385</v>
      </c>
      <c r="C6" t="s">
        <v>11</v>
      </c>
      <c r="D6" t="s">
        <v>386</v>
      </c>
      <c r="E6" t="s">
        <v>387</v>
      </c>
      <c r="F6" t="s">
        <v>388</v>
      </c>
      <c r="G6" t="b">
        <v>0</v>
      </c>
      <c r="H6" t="s">
        <v>389</v>
      </c>
      <c r="I6" t="s">
        <v>390</v>
      </c>
      <c r="J6" t="s">
        <v>384</v>
      </c>
      <c r="K6" s="7"/>
      <c r="L6" t="str">
        <f>IFERROR(_xlfn.XLOOKUP(A6,feature_catalog!A:A,feature_catalog!A:A),"")</f>
        <v>blockedShots</v>
      </c>
    </row>
    <row r="7" spans="1:12" x14ac:dyDescent="0.4">
      <c r="A7" t="s">
        <v>315</v>
      </c>
      <c r="B7" t="s">
        <v>316</v>
      </c>
      <c r="C7" t="s">
        <v>11</v>
      </c>
      <c r="D7" t="s">
        <v>317</v>
      </c>
      <c r="E7" t="s">
        <v>318</v>
      </c>
      <c r="F7" t="s">
        <v>319</v>
      </c>
      <c r="G7" t="b">
        <v>0</v>
      </c>
      <c r="H7" t="s">
        <v>320</v>
      </c>
      <c r="I7" t="s">
        <v>321</v>
      </c>
      <c r="J7" t="s">
        <v>315</v>
      </c>
      <c r="K7" s="7"/>
      <c r="L7" t="str">
        <f>IFERROR(_xlfn.XLOOKUP(A7,feature_catalog!A:A,feature_catalog!A:A),"")</f>
        <v>outfielderBlocks</v>
      </c>
    </row>
    <row r="8" spans="1:12" x14ac:dyDescent="0.4">
      <c r="A8" t="s">
        <v>431</v>
      </c>
      <c r="B8" t="s">
        <v>432</v>
      </c>
      <c r="C8" t="s">
        <v>79</v>
      </c>
      <c r="D8" t="s">
        <v>433</v>
      </c>
      <c r="E8" t="s">
        <v>434</v>
      </c>
      <c r="F8" t="s">
        <v>435</v>
      </c>
      <c r="G8" t="b">
        <v>0</v>
      </c>
      <c r="H8" t="s">
        <v>436</v>
      </c>
      <c r="I8" t="s">
        <v>437</v>
      </c>
      <c r="J8" t="s">
        <v>431</v>
      </c>
      <c r="K8" s="7">
        <v>1</v>
      </c>
      <c r="L8" t="str">
        <f>IFERROR(_xlfn.XLOOKUP(A8,feature_catalog!A:A,feature_catalog!A:A),"")</f>
        <v>aerialDuelsWonPercentage</v>
      </c>
    </row>
    <row r="9" spans="1:12" x14ac:dyDescent="0.4">
      <c r="A9" t="s">
        <v>424</v>
      </c>
      <c r="B9" t="s">
        <v>425</v>
      </c>
      <c r="C9" t="s">
        <v>11</v>
      </c>
      <c r="D9" t="s">
        <v>426</v>
      </c>
      <c r="E9" t="s">
        <v>427</v>
      </c>
      <c r="F9" t="s">
        <v>428</v>
      </c>
      <c r="G9" t="b">
        <v>0</v>
      </c>
      <c r="H9" t="s">
        <v>429</v>
      </c>
      <c r="I9" t="s">
        <v>430</v>
      </c>
      <c r="J9" t="s">
        <v>424</v>
      </c>
      <c r="K9" s="7"/>
      <c r="L9" t="str">
        <f>IFERROR(_xlfn.XLOOKUP(A9,feature_catalog!A:A,feature_catalog!A:A),"")</f>
        <v>aerialDuelsWon</v>
      </c>
    </row>
    <row r="10" spans="1:12" x14ac:dyDescent="0.4">
      <c r="A10" t="s">
        <v>418</v>
      </c>
      <c r="B10" t="s">
        <v>419</v>
      </c>
      <c r="C10" t="s">
        <v>79</v>
      </c>
      <c r="D10" t="s">
        <v>420</v>
      </c>
      <c r="E10" t="s">
        <v>421</v>
      </c>
      <c r="F10" t="s">
        <v>415</v>
      </c>
      <c r="G10" t="b">
        <v>0</v>
      </c>
      <c r="H10" t="s">
        <v>422</v>
      </c>
      <c r="I10" t="s">
        <v>423</v>
      </c>
      <c r="J10" t="s">
        <v>418</v>
      </c>
      <c r="K10" s="7">
        <v>2</v>
      </c>
      <c r="L10" t="str">
        <f>IFERROR(_xlfn.XLOOKUP(A10,feature_catalog!A:A,feature_catalog!A:A),"")</f>
        <v>groundDuelsWonPercentage</v>
      </c>
    </row>
    <row r="11" spans="1:12" x14ac:dyDescent="0.4">
      <c r="A11" t="s">
        <v>411</v>
      </c>
      <c r="B11" t="s">
        <v>412</v>
      </c>
      <c r="C11" t="s">
        <v>11</v>
      </c>
      <c r="D11" t="s">
        <v>413</v>
      </c>
      <c r="E11" t="s">
        <v>414</v>
      </c>
      <c r="F11" t="s">
        <v>415</v>
      </c>
      <c r="G11" t="b">
        <v>0</v>
      </c>
      <c r="H11" t="s">
        <v>416</v>
      </c>
      <c r="I11" t="s">
        <v>417</v>
      </c>
      <c r="J11" t="s">
        <v>411</v>
      </c>
      <c r="K11" s="7"/>
      <c r="L11" t="str">
        <f>IFERROR(_xlfn.XLOOKUP(A11,feature_catalog!A:A,feature_catalog!A:A),"")</f>
        <v>groundDuelsWon</v>
      </c>
    </row>
    <row r="12" spans="1:12" x14ac:dyDescent="0.4">
      <c r="A12" t="s">
        <v>404</v>
      </c>
      <c r="B12" t="s">
        <v>405</v>
      </c>
      <c r="C12" t="s">
        <v>79</v>
      </c>
      <c r="D12" t="s">
        <v>406</v>
      </c>
      <c r="E12" t="s">
        <v>407</v>
      </c>
      <c r="F12" t="s">
        <v>408</v>
      </c>
      <c r="G12" t="b">
        <v>0</v>
      </c>
      <c r="H12" t="s">
        <v>409</v>
      </c>
      <c r="I12" t="s">
        <v>410</v>
      </c>
      <c r="J12" t="s">
        <v>404</v>
      </c>
      <c r="K12" s="7"/>
      <c r="L12" t="str">
        <f>IFERROR(_xlfn.XLOOKUP(A12,feature_catalog!A:A,feature_catalog!A:A),"")</f>
        <v>_duels_won_pct</v>
      </c>
    </row>
    <row r="13" spans="1:12" x14ac:dyDescent="0.4">
      <c r="A13" t="s">
        <v>358</v>
      </c>
      <c r="B13" t="s">
        <v>359</v>
      </c>
      <c r="C13" t="s">
        <v>79</v>
      </c>
      <c r="D13" t="s">
        <v>360</v>
      </c>
      <c r="E13" t="s">
        <v>361</v>
      </c>
      <c r="F13" t="s">
        <v>349</v>
      </c>
      <c r="G13" t="b">
        <v>0</v>
      </c>
      <c r="H13" t="s">
        <v>362</v>
      </c>
      <c r="I13" t="s">
        <v>363</v>
      </c>
      <c r="J13" t="s">
        <v>358</v>
      </c>
      <c r="K13" s="7"/>
      <c r="L13" t="str">
        <f>IFERROR(_xlfn.XLOOKUP(A13,feature_catalog!A:A,feature_catalog!A:A),"")</f>
        <v>_tackle_success_pct</v>
      </c>
    </row>
    <row r="14" spans="1:12" x14ac:dyDescent="0.4">
      <c r="A14" t="s">
        <v>345</v>
      </c>
      <c r="B14" t="s">
        <v>346</v>
      </c>
      <c r="C14" t="s">
        <v>11</v>
      </c>
      <c r="D14" t="s">
        <v>347</v>
      </c>
      <c r="E14" t="s">
        <v>348</v>
      </c>
      <c r="F14" t="s">
        <v>349</v>
      </c>
      <c r="G14" t="b">
        <v>0</v>
      </c>
      <c r="H14" t="s">
        <v>350</v>
      </c>
      <c r="I14" t="s">
        <v>351</v>
      </c>
      <c r="J14" t="s">
        <v>345</v>
      </c>
      <c r="K14" s="7"/>
      <c r="L14" t="str">
        <f>IFERROR(_xlfn.XLOOKUP(A14,feature_catalog!A:A,feature_catalog!A:A),"")</f>
        <v>tackles</v>
      </c>
    </row>
    <row r="15" spans="1:12" x14ac:dyDescent="0.4">
      <c r="A15" t="s">
        <v>352</v>
      </c>
      <c r="B15" t="s">
        <v>353</v>
      </c>
      <c r="C15" t="s">
        <v>11</v>
      </c>
      <c r="D15" t="s">
        <v>354</v>
      </c>
      <c r="E15" t="s">
        <v>355</v>
      </c>
      <c r="F15" t="s">
        <v>349</v>
      </c>
      <c r="G15" t="b">
        <v>0</v>
      </c>
      <c r="H15" t="s">
        <v>356</v>
      </c>
      <c r="I15" t="s">
        <v>357</v>
      </c>
      <c r="J15" t="s">
        <v>352</v>
      </c>
      <c r="K15" s="7"/>
      <c r="L15" t="str">
        <f>IFERROR(_xlfn.XLOOKUP(A15,feature_catalog!A:A,feature_catalog!A:A),"")</f>
        <v>tacklesWon</v>
      </c>
    </row>
    <row r="16" spans="1:12" x14ac:dyDescent="0.4">
      <c r="A16" t="s">
        <v>268</v>
      </c>
      <c r="B16" t="s">
        <v>269</v>
      </c>
      <c r="C16" t="s">
        <v>11</v>
      </c>
      <c r="D16" t="s">
        <v>270</v>
      </c>
      <c r="E16" t="s">
        <v>271</v>
      </c>
      <c r="F16" t="s">
        <v>272</v>
      </c>
      <c r="G16" t="b">
        <v>1</v>
      </c>
      <c r="H16" t="s">
        <v>273</v>
      </c>
      <c r="I16" t="s">
        <v>274</v>
      </c>
      <c r="J16" t="s">
        <v>268</v>
      </c>
      <c r="K16" s="7">
        <v>2</v>
      </c>
      <c r="L16" t="str">
        <f>IFERROR(_xlfn.XLOOKUP(A16,feature_catalog!A:A,feature_catalog!A:A),"")</f>
        <v>dribbledPast</v>
      </c>
    </row>
    <row r="17" spans="1:12" x14ac:dyDescent="0.4">
      <c r="A17" t="s">
        <v>572</v>
      </c>
      <c r="B17" t="s">
        <v>573</v>
      </c>
      <c r="C17" t="s">
        <v>486</v>
      </c>
      <c r="D17" t="s">
        <v>574</v>
      </c>
      <c r="E17" t="s">
        <v>575</v>
      </c>
      <c r="F17" t="s">
        <v>489</v>
      </c>
      <c r="G17" t="b">
        <v>0</v>
      </c>
      <c r="H17" t="s">
        <v>576</v>
      </c>
      <c r="I17" t="s">
        <v>577</v>
      </c>
      <c r="J17" t="s">
        <v>572</v>
      </c>
      <c r="K17" s="7"/>
      <c r="L17" t="str">
        <f>IFERROR(_xlfn.XLOOKUP(A17,feature_catalog!A:A,feature_catalog!A:A),"")</f>
        <v>averageX</v>
      </c>
    </row>
    <row r="18" spans="1:12" x14ac:dyDescent="0.4">
      <c r="A18" t="s">
        <v>329</v>
      </c>
      <c r="B18" t="s">
        <v>330</v>
      </c>
      <c r="C18" t="s">
        <v>11</v>
      </c>
      <c r="D18" t="s">
        <v>331</v>
      </c>
      <c r="E18" t="s">
        <v>332</v>
      </c>
      <c r="F18" t="s">
        <v>333</v>
      </c>
      <c r="G18" t="b">
        <v>1</v>
      </c>
      <c r="H18" t="s">
        <v>334</v>
      </c>
      <c r="I18" t="s">
        <v>335</v>
      </c>
      <c r="J18" t="s">
        <v>329</v>
      </c>
      <c r="K18" s="7"/>
      <c r="L18" t="str">
        <f>IFERROR(_xlfn.XLOOKUP(A18,feature_catalog!A:A,feature_catalog!A:A),"")</f>
        <v>errorLeadToGoal</v>
      </c>
    </row>
    <row r="19" spans="1:12" x14ac:dyDescent="0.4">
      <c r="A19" t="s">
        <v>336</v>
      </c>
      <c r="B19" t="s">
        <v>337</v>
      </c>
      <c r="C19" t="s">
        <v>11</v>
      </c>
      <c r="D19" t="s">
        <v>338</v>
      </c>
      <c r="E19" t="s">
        <v>339</v>
      </c>
      <c r="F19" t="s">
        <v>333</v>
      </c>
      <c r="G19" t="b">
        <v>1</v>
      </c>
      <c r="H19" t="s">
        <v>340</v>
      </c>
      <c r="I19" t="s">
        <v>341</v>
      </c>
      <c r="J19" t="s">
        <v>336</v>
      </c>
      <c r="K19" s="7">
        <v>2</v>
      </c>
      <c r="L19" t="str">
        <f>IFERROR(_xlfn.XLOOKUP(A19,feature_catalog!A:A,feature_catalog!A:A),"")</f>
        <v>errorLeadToShot</v>
      </c>
    </row>
    <row r="20" spans="1:12" x14ac:dyDescent="0.4">
      <c r="A20" t="s">
        <v>309</v>
      </c>
      <c r="B20" t="s">
        <v>310</v>
      </c>
      <c r="C20" t="s">
        <v>11</v>
      </c>
      <c r="D20" t="s">
        <v>311</v>
      </c>
      <c r="E20" t="s">
        <v>312</v>
      </c>
      <c r="F20" t="s">
        <v>272</v>
      </c>
      <c r="G20" t="b">
        <v>1</v>
      </c>
      <c r="H20" t="s">
        <v>313</v>
      </c>
      <c r="I20" t="s">
        <v>314</v>
      </c>
      <c r="J20" t="s">
        <v>309</v>
      </c>
      <c r="K20" s="7"/>
      <c r="L20" t="str">
        <f>IFERROR(_xlfn.XLOOKUP(A20,feature_catalog!A:A,feature_catalog!A:A),"")</f>
        <v>penaltyConceded</v>
      </c>
    </row>
    <row r="21" spans="1:12" x14ac:dyDescent="0.4">
      <c r="A21" t="s">
        <v>302</v>
      </c>
      <c r="B21" t="s">
        <v>303</v>
      </c>
      <c r="C21" t="s">
        <v>11</v>
      </c>
      <c r="D21" t="s">
        <v>304</v>
      </c>
      <c r="E21" t="s">
        <v>305</v>
      </c>
      <c r="F21" t="s">
        <v>306</v>
      </c>
      <c r="G21" t="b">
        <v>1</v>
      </c>
      <c r="H21" t="s">
        <v>307</v>
      </c>
      <c r="I21" t="s">
        <v>308</v>
      </c>
      <c r="J21" t="s">
        <v>302</v>
      </c>
      <c r="K21" s="7">
        <v>1</v>
      </c>
      <c r="L21" t="str">
        <f>IFERROR(_xlfn.XLOOKUP(A21,feature_catalog!A:A,feature_catalog!A:A),"")</f>
        <v>fouls</v>
      </c>
    </row>
    <row r="22" spans="1:12" x14ac:dyDescent="0.4">
      <c r="A22" t="s">
        <v>238</v>
      </c>
      <c r="B22" t="s">
        <v>239</v>
      </c>
      <c r="C22" t="s">
        <v>11</v>
      </c>
      <c r="D22" t="s">
        <v>240</v>
      </c>
      <c r="E22" t="s">
        <v>241</v>
      </c>
      <c r="F22" t="s">
        <v>242</v>
      </c>
      <c r="G22" t="b">
        <v>1</v>
      </c>
      <c r="H22" t="s">
        <v>243</v>
      </c>
      <c r="I22" t="s">
        <v>244</v>
      </c>
      <c r="J22" t="s">
        <v>238</v>
      </c>
      <c r="K22" s="7">
        <v>1</v>
      </c>
      <c r="L22" t="str">
        <f>IFERROR(_xlfn.XLOOKUP(A22,feature_catalog!A:A,feature_catalog!A:A),"")</f>
        <v>possessionLost</v>
      </c>
    </row>
    <row r="23" spans="1:12" x14ac:dyDescent="0.4">
      <c r="A23" t="s">
        <v>159</v>
      </c>
      <c r="B23" t="s">
        <v>160</v>
      </c>
      <c r="C23" t="s">
        <v>79</v>
      </c>
      <c r="D23" t="s">
        <v>161</v>
      </c>
      <c r="E23" t="s">
        <v>162</v>
      </c>
      <c r="F23" t="s">
        <v>163</v>
      </c>
      <c r="G23" t="b">
        <v>0</v>
      </c>
      <c r="H23" t="s">
        <v>164</v>
      </c>
      <c r="I23" t="s">
        <v>165</v>
      </c>
      <c r="J23" t="s">
        <v>159</v>
      </c>
      <c r="K23" s="7">
        <v>1.5</v>
      </c>
      <c r="L23" t="str">
        <f>IFERROR(_xlfn.XLOOKUP(A23,feature_catalog!A:A,feature_catalog!A:A),"")</f>
        <v>accuratePassesPercentage</v>
      </c>
    </row>
    <row r="24" spans="1:12" x14ac:dyDescent="0.4">
      <c r="A24" t="s">
        <v>173</v>
      </c>
      <c r="B24" t="s">
        <v>174</v>
      </c>
      <c r="C24" t="s">
        <v>79</v>
      </c>
      <c r="D24" t="s">
        <v>175</v>
      </c>
      <c r="E24" t="s">
        <v>176</v>
      </c>
      <c r="F24" t="s">
        <v>170</v>
      </c>
      <c r="G24" t="b">
        <v>0</v>
      </c>
      <c r="H24" t="s">
        <v>177</v>
      </c>
      <c r="I24" t="s">
        <v>178</v>
      </c>
      <c r="J24" t="s">
        <v>173</v>
      </c>
      <c r="K24" s="7"/>
      <c r="L24" t="str">
        <f>IFERROR(_xlfn.XLOOKUP(A24,feature_catalog!A:A,feature_catalog!A:A),"")</f>
        <v>accurateLongBallsPercentage</v>
      </c>
    </row>
    <row r="25" spans="1:12" x14ac:dyDescent="0.4">
      <c r="A25" t="s">
        <v>166</v>
      </c>
      <c r="B25" t="s">
        <v>167</v>
      </c>
      <c r="C25" t="s">
        <v>11</v>
      </c>
      <c r="D25" t="s">
        <v>168</v>
      </c>
      <c r="E25" t="s">
        <v>169</v>
      </c>
      <c r="F25" t="s">
        <v>170</v>
      </c>
      <c r="G25" t="b">
        <v>0</v>
      </c>
      <c r="H25" t="s">
        <v>171</v>
      </c>
      <c r="I25" t="s">
        <v>172</v>
      </c>
      <c r="J25" t="s">
        <v>166</v>
      </c>
      <c r="K25" s="7"/>
      <c r="L25" t="str">
        <f>IFERROR(_xlfn.XLOOKUP(A25,feature_catalog!A:A,feature_catalog!A:A),"")</f>
        <v>accurateLongBalls</v>
      </c>
    </row>
    <row r="26" spans="1:12" x14ac:dyDescent="0.4">
      <c r="A26" t="s">
        <v>484</v>
      </c>
      <c r="B26" t="s">
        <v>485</v>
      </c>
      <c r="C26" t="s">
        <v>486</v>
      </c>
      <c r="D26" t="s">
        <v>487</v>
      </c>
      <c r="E26" t="s">
        <v>488</v>
      </c>
      <c r="F26" t="s">
        <v>489</v>
      </c>
      <c r="G26" t="b">
        <v>0</v>
      </c>
      <c r="H26" t="s">
        <v>490</v>
      </c>
      <c r="I26" t="s">
        <v>491</v>
      </c>
      <c r="J26" t="s">
        <v>484</v>
      </c>
      <c r="K26" s="7"/>
      <c r="L26" t="str">
        <f>IFERROR(_xlfn.XLOOKUP(A26,feature_catalog!A:A,feature_catalog!A:A),"")</f>
        <v>rating</v>
      </c>
    </row>
    <row r="27" spans="1:12" x14ac:dyDescent="0.4">
      <c r="A27" t="s">
        <v>632</v>
      </c>
      <c r="B27" t="s">
        <v>633</v>
      </c>
      <c r="C27" t="s">
        <v>486</v>
      </c>
      <c r="D27" t="s">
        <v>634</v>
      </c>
      <c r="E27" t="s">
        <v>635</v>
      </c>
      <c r="F27" t="s">
        <v>636</v>
      </c>
      <c r="G27" t="b">
        <v>0</v>
      </c>
      <c r="H27" t="s">
        <v>637</v>
      </c>
      <c r="I27" t="s">
        <v>638</v>
      </c>
      <c r="J27" t="s">
        <v>632</v>
      </c>
      <c r="K27" s="7"/>
      <c r="L27" t="str">
        <f>IFERROR(_xlfn.XLOOKUP(A27,feature_catalog!A:A,feature_catalog!A:A),"")</f>
        <v>height</v>
      </c>
    </row>
    <row r="28" spans="1:12" x14ac:dyDescent="0.4">
      <c r="A28" t="s">
        <v>578</v>
      </c>
      <c r="B28" t="s">
        <v>579</v>
      </c>
      <c r="C28" t="s">
        <v>486</v>
      </c>
      <c r="D28" t="s">
        <v>580</v>
      </c>
      <c r="E28" t="s">
        <v>581</v>
      </c>
      <c r="F28" t="s">
        <v>489</v>
      </c>
      <c r="G28" t="b">
        <v>0</v>
      </c>
      <c r="H28" t="s">
        <v>582</v>
      </c>
      <c r="I28" t="s">
        <v>583</v>
      </c>
      <c r="J28" t="s">
        <v>578</v>
      </c>
      <c r="K28" s="7"/>
      <c r="L28" t="str">
        <f>IFERROR(_xlfn.XLOOKUP(A28,feature_catalog!A:A,feature_catalog!A:A),"")</f>
        <v>averageY</v>
      </c>
    </row>
    <row r="29" spans="1:12" x14ac:dyDescent="0.4">
      <c r="L29">
        <f>IFERROR(_xlfn.XLOOKUP(A29,feature_catalog!A:A,feature_catalog!A:A),"")</f>
        <v>0</v>
      </c>
    </row>
    <row r="30" spans="1:12" x14ac:dyDescent="0.4">
      <c r="L30">
        <f>IFERROR(_xlfn.XLOOKUP(A30,feature_catalog!A:A,feature_catalog!A:A),"")</f>
        <v>0</v>
      </c>
    </row>
    <row r="31" spans="1:12" x14ac:dyDescent="0.4">
      <c r="L31">
        <f>IFERROR(_xlfn.XLOOKUP(A31,feature_catalog!A:A,feature_catalog!A:A),"")</f>
        <v>0</v>
      </c>
    </row>
    <row r="32" spans="1:12" x14ac:dyDescent="0.4">
      <c r="L32">
        <f>IFERROR(_xlfn.XLOOKUP(A32,feature_catalog!A:A,feature_catalog!A:A),"")</f>
        <v>0</v>
      </c>
    </row>
    <row r="33" spans="12:12" x14ac:dyDescent="0.4">
      <c r="L33">
        <f>IFERROR(_xlfn.XLOOKUP(A33,feature_catalog!A:A,feature_catalog!A:A),"")</f>
        <v>0</v>
      </c>
    </row>
    <row r="34" spans="12:12" x14ac:dyDescent="0.4">
      <c r="L34">
        <f>IFERROR(_xlfn.XLOOKUP(A34,feature_catalog!A:A,feature_catalog!A:A),"")</f>
        <v>0</v>
      </c>
    </row>
    <row r="35" spans="12:12" x14ac:dyDescent="0.4">
      <c r="L35">
        <f>IFERROR(_xlfn.XLOOKUP(A35,feature_catalog!A:A,feature_catalog!A:A),"")</f>
        <v>0</v>
      </c>
    </row>
    <row r="36" spans="12:12" x14ac:dyDescent="0.4">
      <c r="L36" t="str">
        <f>IFERROR(_xlfn.XLOOKUP(A36,feature_catalog!A:A,feature_catalog!A:A),"")</f>
        <v/>
      </c>
    </row>
    <row r="37" spans="12:12" x14ac:dyDescent="0.4">
      <c r="L37">
        <f>IFERROR(_xlfn.XLOOKUP(A37,feature_catalog!A:A,feature_catalog!A:A),"")</f>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4626E-3333-49A2-92DA-9DB972E8F87C}">
  <dimension ref="A1:L36"/>
  <sheetViews>
    <sheetView topLeftCell="F1" workbookViewId="0">
      <pane ySplit="1" topLeftCell="A2" activePane="bottomLeft" state="frozen"/>
      <selection pane="bottomLeft" activeCell="L28" sqref="L1:L28"/>
    </sheetView>
  </sheetViews>
  <sheetFormatPr baseColWidth="10" defaultRowHeight="14.6" x14ac:dyDescent="0.4"/>
  <cols>
    <col min="1" max="1" width="25" bestFit="1" customWidth="1"/>
    <col min="2" max="2" width="18.53515625" bestFit="1" customWidth="1"/>
    <col min="3" max="3" width="4.4609375" bestFit="1" customWidth="1"/>
    <col min="4" max="4" width="234.3046875" bestFit="1" customWidth="1"/>
    <col min="5" max="5" width="148.3828125" bestFit="1" customWidth="1"/>
    <col min="6" max="6" width="20.15234375" bestFit="1" customWidth="1"/>
    <col min="7" max="7" width="7.765625" bestFit="1" customWidth="1"/>
    <col min="8" max="8" width="22.61328125" bestFit="1" customWidth="1"/>
    <col min="9" max="9" width="20.15234375" bestFit="1" customWidth="1"/>
    <col min="10" max="10" width="25" bestFit="1" customWidth="1"/>
    <col min="11" max="11" width="11" bestFit="1" customWidth="1"/>
  </cols>
  <sheetData>
    <row r="1" spans="1:12" x14ac:dyDescent="0.4">
      <c r="A1" s="2" t="s">
        <v>0</v>
      </c>
      <c r="B1" s="2" t="s">
        <v>1</v>
      </c>
      <c r="C1" s="2" t="s">
        <v>2</v>
      </c>
      <c r="D1" s="2" t="s">
        <v>3</v>
      </c>
      <c r="E1" s="2" t="s">
        <v>4</v>
      </c>
      <c r="F1" s="2" t="s">
        <v>5</v>
      </c>
      <c r="G1" s="2" t="s">
        <v>6</v>
      </c>
      <c r="H1" s="2" t="s">
        <v>7</v>
      </c>
      <c r="I1" s="2" t="s">
        <v>8</v>
      </c>
      <c r="J1" s="2" t="s">
        <v>0</v>
      </c>
      <c r="K1" s="2" t="s">
        <v>645</v>
      </c>
    </row>
    <row r="2" spans="1:12" x14ac:dyDescent="0.4">
      <c r="A2" t="s">
        <v>431</v>
      </c>
      <c r="B2" t="s">
        <v>432</v>
      </c>
      <c r="C2" t="s">
        <v>79</v>
      </c>
      <c r="D2" t="s">
        <v>433</v>
      </c>
      <c r="E2" t="s">
        <v>434</v>
      </c>
      <c r="F2" t="s">
        <v>435</v>
      </c>
      <c r="G2" t="b">
        <v>0</v>
      </c>
      <c r="H2" t="s">
        <v>436</v>
      </c>
      <c r="I2" t="s">
        <v>437</v>
      </c>
      <c r="J2" t="s">
        <v>431</v>
      </c>
      <c r="K2" s="7">
        <v>2.5</v>
      </c>
      <c r="L2" t="str">
        <f>IFERROR(_xlfn.XLOOKUP(A2,feature_catalog!A:A,feature_catalog!A:A),"")</f>
        <v>aerialDuelsWonPercentage</v>
      </c>
    </row>
    <row r="3" spans="1:12" x14ac:dyDescent="0.4">
      <c r="A3" t="s">
        <v>424</v>
      </c>
      <c r="B3" t="s">
        <v>425</v>
      </c>
      <c r="C3" t="s">
        <v>11</v>
      </c>
      <c r="D3" t="s">
        <v>426</v>
      </c>
      <c r="E3" t="s">
        <v>427</v>
      </c>
      <c r="F3" t="s">
        <v>428</v>
      </c>
      <c r="G3" t="b">
        <v>0</v>
      </c>
      <c r="H3" t="s">
        <v>429</v>
      </c>
      <c r="I3" t="s">
        <v>430</v>
      </c>
      <c r="J3" t="s">
        <v>424</v>
      </c>
      <c r="K3" s="7">
        <v>1</v>
      </c>
      <c r="L3" t="str">
        <f>IFERROR(_xlfn.XLOOKUP(A3,feature_catalog!A:A,feature_catalog!A:A),"")</f>
        <v>aerialDuelsWon</v>
      </c>
    </row>
    <row r="4" spans="1:12" x14ac:dyDescent="0.4">
      <c r="A4" t="s">
        <v>58</v>
      </c>
      <c r="B4" t="s">
        <v>59</v>
      </c>
      <c r="C4" t="s">
        <v>11</v>
      </c>
      <c r="D4" t="s">
        <v>60</v>
      </c>
      <c r="E4" t="s">
        <v>61</v>
      </c>
      <c r="F4" t="s">
        <v>62</v>
      </c>
      <c r="G4" t="b">
        <v>0</v>
      </c>
      <c r="H4" t="s">
        <v>63</v>
      </c>
      <c r="I4" t="s">
        <v>64</v>
      </c>
      <c r="J4" t="s">
        <v>58</v>
      </c>
      <c r="K4" s="7">
        <v>1.5</v>
      </c>
      <c r="L4" t="str">
        <f>IFERROR(_xlfn.XLOOKUP(A4,feature_catalog!A:A,feature_catalog!A:A),"")</f>
        <v>headedGoals</v>
      </c>
    </row>
    <row r="5" spans="1:12" x14ac:dyDescent="0.4">
      <c r="A5" t="s">
        <v>525</v>
      </c>
      <c r="B5" t="s">
        <v>526</v>
      </c>
      <c r="C5" t="s">
        <v>11</v>
      </c>
      <c r="D5" t="s">
        <v>527</v>
      </c>
      <c r="E5" t="s">
        <v>528</v>
      </c>
      <c r="F5" t="s">
        <v>451</v>
      </c>
      <c r="G5" t="b">
        <v>0</v>
      </c>
      <c r="H5" t="s">
        <v>529</v>
      </c>
      <c r="I5" t="s">
        <v>530</v>
      </c>
      <c r="J5" t="s">
        <v>525</v>
      </c>
      <c r="K5" s="7"/>
      <c r="L5" t="str">
        <f>IFERROR(_xlfn.XLOOKUP(A5,feature_catalog!A:A,feature_catalog!A:A),"")</f>
        <v>highClaims</v>
      </c>
    </row>
    <row r="6" spans="1:12" x14ac:dyDescent="0.4">
      <c r="A6" t="s">
        <v>418</v>
      </c>
      <c r="B6" t="s">
        <v>419</v>
      </c>
      <c r="C6" t="s">
        <v>79</v>
      </c>
      <c r="D6" t="s">
        <v>420</v>
      </c>
      <c r="E6" t="s">
        <v>421</v>
      </c>
      <c r="F6" t="s">
        <v>415</v>
      </c>
      <c r="G6" t="b">
        <v>0</v>
      </c>
      <c r="H6" t="s">
        <v>422</v>
      </c>
      <c r="I6" t="s">
        <v>423</v>
      </c>
      <c r="J6" t="s">
        <v>418</v>
      </c>
      <c r="K6" s="7">
        <v>2</v>
      </c>
      <c r="L6" t="str">
        <f>IFERROR(_xlfn.XLOOKUP(A6,feature_catalog!A:A,feature_catalog!A:A),"")</f>
        <v>groundDuelsWonPercentage</v>
      </c>
    </row>
    <row r="7" spans="1:12" x14ac:dyDescent="0.4">
      <c r="A7" t="s">
        <v>411</v>
      </c>
      <c r="B7" t="s">
        <v>412</v>
      </c>
      <c r="C7" t="s">
        <v>11</v>
      </c>
      <c r="D7" t="s">
        <v>413</v>
      </c>
      <c r="E7" t="s">
        <v>414</v>
      </c>
      <c r="F7" t="s">
        <v>415</v>
      </c>
      <c r="G7" t="b">
        <v>0</v>
      </c>
      <c r="H7" t="s">
        <v>416</v>
      </c>
      <c r="I7" t="s">
        <v>417</v>
      </c>
      <c r="J7" t="s">
        <v>411</v>
      </c>
      <c r="K7" s="7"/>
      <c r="L7" t="str">
        <f>IFERROR(_xlfn.XLOOKUP(A7,feature_catalog!A:A,feature_catalog!A:A),"")</f>
        <v>groundDuelsWon</v>
      </c>
    </row>
    <row r="8" spans="1:12" x14ac:dyDescent="0.4">
      <c r="A8" t="s">
        <v>404</v>
      </c>
      <c r="B8" t="s">
        <v>405</v>
      </c>
      <c r="C8" t="s">
        <v>79</v>
      </c>
      <c r="D8" t="s">
        <v>406</v>
      </c>
      <c r="E8" t="s">
        <v>407</v>
      </c>
      <c r="F8" t="s">
        <v>408</v>
      </c>
      <c r="G8" t="b">
        <v>0</v>
      </c>
      <c r="H8" t="s">
        <v>409</v>
      </c>
      <c r="I8" t="s">
        <v>410</v>
      </c>
      <c r="J8" t="s">
        <v>404</v>
      </c>
      <c r="K8" s="7"/>
      <c r="L8" t="str">
        <f>IFERROR(_xlfn.XLOOKUP(A8,feature_catalog!A:A,feature_catalog!A:A),"")</f>
        <v>_duels_won_pct</v>
      </c>
    </row>
    <row r="9" spans="1:12" x14ac:dyDescent="0.4">
      <c r="A9" t="s">
        <v>397</v>
      </c>
      <c r="B9" t="s">
        <v>398</v>
      </c>
      <c r="C9" t="s">
        <v>11</v>
      </c>
      <c r="D9" t="s">
        <v>399</v>
      </c>
      <c r="E9" t="s">
        <v>400</v>
      </c>
      <c r="F9" t="s">
        <v>401</v>
      </c>
      <c r="G9" t="b">
        <v>0</v>
      </c>
      <c r="H9" t="s">
        <v>402</v>
      </c>
      <c r="I9" t="s">
        <v>403</v>
      </c>
      <c r="J9" t="s">
        <v>397</v>
      </c>
      <c r="K9" s="7"/>
      <c r="L9" t="str">
        <f>IFERROR(_xlfn.XLOOKUP(A9,feature_catalog!A:A,feature_catalog!A:A),"")</f>
        <v>_duels_won_p90</v>
      </c>
    </row>
    <row r="10" spans="1:12" x14ac:dyDescent="0.4">
      <c r="A10" t="s">
        <v>358</v>
      </c>
      <c r="B10" t="s">
        <v>359</v>
      </c>
      <c r="C10" t="s">
        <v>79</v>
      </c>
      <c r="D10" t="s">
        <v>360</v>
      </c>
      <c r="E10" t="s">
        <v>361</v>
      </c>
      <c r="F10" t="s">
        <v>349</v>
      </c>
      <c r="G10" t="b">
        <v>0</v>
      </c>
      <c r="H10" t="s">
        <v>362</v>
      </c>
      <c r="I10" t="s">
        <v>363</v>
      </c>
      <c r="J10" t="s">
        <v>358</v>
      </c>
      <c r="K10" s="7"/>
      <c r="L10" t="str">
        <f>IFERROR(_xlfn.XLOOKUP(A10,feature_catalog!A:A,feature_catalog!A:A),"")</f>
        <v>_tackle_success_pct</v>
      </c>
    </row>
    <row r="11" spans="1:12" x14ac:dyDescent="0.4">
      <c r="A11" t="s">
        <v>345</v>
      </c>
      <c r="B11" t="s">
        <v>346</v>
      </c>
      <c r="C11" t="s">
        <v>11</v>
      </c>
      <c r="D11" t="s">
        <v>347</v>
      </c>
      <c r="E11" t="s">
        <v>348</v>
      </c>
      <c r="F11" t="s">
        <v>349</v>
      </c>
      <c r="G11" t="b">
        <v>0</v>
      </c>
      <c r="H11" t="s">
        <v>350</v>
      </c>
      <c r="I11" t="s">
        <v>351</v>
      </c>
      <c r="J11" t="s">
        <v>345</v>
      </c>
      <c r="K11" s="7"/>
      <c r="L11" t="str">
        <f>IFERROR(_xlfn.XLOOKUP(A11,feature_catalog!A:A,feature_catalog!A:A),"")</f>
        <v>tackles</v>
      </c>
    </row>
    <row r="12" spans="1:12" x14ac:dyDescent="0.4">
      <c r="A12" t="s">
        <v>370</v>
      </c>
      <c r="B12" t="s">
        <v>371</v>
      </c>
      <c r="C12" t="s">
        <v>11</v>
      </c>
      <c r="D12" t="s">
        <v>372</v>
      </c>
      <c r="E12" t="s">
        <v>373</v>
      </c>
      <c r="F12" t="s">
        <v>374</v>
      </c>
      <c r="G12" t="b">
        <v>0</v>
      </c>
      <c r="H12" t="s">
        <v>375</v>
      </c>
      <c r="I12" t="s">
        <v>376</v>
      </c>
      <c r="J12" t="s">
        <v>370</v>
      </c>
      <c r="K12" s="7"/>
      <c r="L12" t="str">
        <f>IFERROR(_xlfn.XLOOKUP(A12,feature_catalog!A:A,feature_catalog!A:A),"")</f>
        <v>clearances</v>
      </c>
    </row>
    <row r="13" spans="1:12" x14ac:dyDescent="0.4">
      <c r="A13" t="s">
        <v>384</v>
      </c>
      <c r="B13" t="s">
        <v>385</v>
      </c>
      <c r="C13" t="s">
        <v>11</v>
      </c>
      <c r="D13" t="s">
        <v>386</v>
      </c>
      <c r="E13" t="s">
        <v>387</v>
      </c>
      <c r="F13" t="s">
        <v>388</v>
      </c>
      <c r="G13" t="b">
        <v>0</v>
      </c>
      <c r="H13" t="s">
        <v>389</v>
      </c>
      <c r="I13" t="s">
        <v>390</v>
      </c>
      <c r="J13" t="s">
        <v>384</v>
      </c>
      <c r="K13" s="7"/>
      <c r="L13" t="str">
        <f>IFERROR(_xlfn.XLOOKUP(A13,feature_catalog!A:A,feature_catalog!A:A),"")</f>
        <v>blockedShots</v>
      </c>
    </row>
    <row r="14" spans="1:12" x14ac:dyDescent="0.4">
      <c r="A14" t="s">
        <v>315</v>
      </c>
      <c r="B14" t="s">
        <v>316</v>
      </c>
      <c r="C14" t="s">
        <v>11</v>
      </c>
      <c r="D14" t="s">
        <v>317</v>
      </c>
      <c r="E14" t="s">
        <v>318</v>
      </c>
      <c r="F14" t="s">
        <v>319</v>
      </c>
      <c r="G14" t="b">
        <v>0</v>
      </c>
      <c r="H14" t="s">
        <v>320</v>
      </c>
      <c r="I14" t="s">
        <v>321</v>
      </c>
      <c r="J14" t="s">
        <v>315</v>
      </c>
      <c r="K14" s="7"/>
      <c r="L14" t="str">
        <f>IFERROR(_xlfn.XLOOKUP(A14,feature_catalog!A:A,feature_catalog!A:A),"")</f>
        <v>outfielderBlocks</v>
      </c>
    </row>
    <row r="15" spans="1:12" x14ac:dyDescent="0.4">
      <c r="A15" t="s">
        <v>258</v>
      </c>
      <c r="B15" t="s">
        <v>259</v>
      </c>
      <c r="C15" t="s">
        <v>11</v>
      </c>
      <c r="D15" t="s">
        <v>260</v>
      </c>
      <c r="E15" t="s">
        <v>261</v>
      </c>
      <c r="F15" t="s">
        <v>262</v>
      </c>
      <c r="G15" t="b">
        <v>0</v>
      </c>
      <c r="H15" t="s">
        <v>263</v>
      </c>
      <c r="I15" t="s">
        <v>264</v>
      </c>
      <c r="J15" t="s">
        <v>258</v>
      </c>
      <c r="K15" s="7"/>
      <c r="L15" t="str">
        <f>IFERROR(_xlfn.XLOOKUP(A15,feature_catalog!A:A,feature_catalog!A:A),"")</f>
        <v>ballRecovery</v>
      </c>
    </row>
    <row r="16" spans="1:12" x14ac:dyDescent="0.4">
      <c r="A16" t="s">
        <v>268</v>
      </c>
      <c r="B16" t="s">
        <v>269</v>
      </c>
      <c r="C16" t="s">
        <v>11</v>
      </c>
      <c r="D16" t="s">
        <v>270</v>
      </c>
      <c r="E16" t="s">
        <v>271</v>
      </c>
      <c r="F16" t="s">
        <v>272</v>
      </c>
      <c r="G16" t="b">
        <v>1</v>
      </c>
      <c r="H16" t="s">
        <v>273</v>
      </c>
      <c r="I16" t="s">
        <v>274</v>
      </c>
      <c r="J16" t="s">
        <v>268</v>
      </c>
      <c r="K16" s="7">
        <v>1.5</v>
      </c>
      <c r="L16" t="str">
        <f>IFERROR(_xlfn.XLOOKUP(A16,feature_catalog!A:A,feature_catalog!A:A),"")</f>
        <v>dribbledPast</v>
      </c>
    </row>
    <row r="17" spans="1:12" x14ac:dyDescent="0.4">
      <c r="A17" t="s">
        <v>329</v>
      </c>
      <c r="B17" t="s">
        <v>330</v>
      </c>
      <c r="C17" t="s">
        <v>11</v>
      </c>
      <c r="D17" t="s">
        <v>331</v>
      </c>
      <c r="E17" t="s">
        <v>332</v>
      </c>
      <c r="F17" t="s">
        <v>333</v>
      </c>
      <c r="G17" t="b">
        <v>1</v>
      </c>
      <c r="H17" t="s">
        <v>334</v>
      </c>
      <c r="I17" t="s">
        <v>335</v>
      </c>
      <c r="J17" t="s">
        <v>329</v>
      </c>
      <c r="K17" s="7"/>
      <c r="L17" t="str">
        <f>IFERROR(_xlfn.XLOOKUP(A17,feature_catalog!A:A,feature_catalog!A:A),"")</f>
        <v>errorLeadToGoal</v>
      </c>
    </row>
    <row r="18" spans="1:12" x14ac:dyDescent="0.4">
      <c r="A18" t="s">
        <v>336</v>
      </c>
      <c r="B18" t="s">
        <v>337</v>
      </c>
      <c r="C18" t="s">
        <v>11</v>
      </c>
      <c r="D18" t="s">
        <v>338</v>
      </c>
      <c r="E18" t="s">
        <v>339</v>
      </c>
      <c r="F18" t="s">
        <v>333</v>
      </c>
      <c r="G18" t="b">
        <v>1</v>
      </c>
      <c r="H18" t="s">
        <v>340</v>
      </c>
      <c r="I18" t="s">
        <v>341</v>
      </c>
      <c r="J18" t="s">
        <v>336</v>
      </c>
      <c r="K18" s="7">
        <f>_xlfn.XLOOKUP(J18,defenseur_central!J:J,defenseur_central!K:K)</f>
        <v>2</v>
      </c>
      <c r="L18" t="str">
        <f>IFERROR(_xlfn.XLOOKUP(A18,feature_catalog!A:A,feature_catalog!A:A),"")</f>
        <v>errorLeadToShot</v>
      </c>
    </row>
    <row r="19" spans="1:12" x14ac:dyDescent="0.4">
      <c r="A19" t="s">
        <v>302</v>
      </c>
      <c r="B19" t="s">
        <v>303</v>
      </c>
      <c r="C19" t="s">
        <v>11</v>
      </c>
      <c r="D19" t="s">
        <v>304</v>
      </c>
      <c r="E19" t="s">
        <v>305</v>
      </c>
      <c r="F19" t="s">
        <v>306</v>
      </c>
      <c r="G19" t="b">
        <v>1</v>
      </c>
      <c r="H19" t="s">
        <v>307</v>
      </c>
      <c r="I19" t="s">
        <v>308</v>
      </c>
      <c r="J19" t="s">
        <v>302</v>
      </c>
      <c r="K19" s="7">
        <f>_xlfn.XLOOKUP(J19,defenseur_central!J:J,defenseur_central!K:K)</f>
        <v>1</v>
      </c>
      <c r="L19" t="str">
        <f>IFERROR(_xlfn.XLOOKUP(A19,feature_catalog!A:A,feature_catalog!A:A),"")</f>
        <v>fouls</v>
      </c>
    </row>
    <row r="20" spans="1:12" x14ac:dyDescent="0.4">
      <c r="A20" t="s">
        <v>309</v>
      </c>
      <c r="B20" t="s">
        <v>310</v>
      </c>
      <c r="C20" t="s">
        <v>11</v>
      </c>
      <c r="D20" t="s">
        <v>311</v>
      </c>
      <c r="E20" t="s">
        <v>312</v>
      </c>
      <c r="F20" t="s">
        <v>272</v>
      </c>
      <c r="G20" t="b">
        <v>1</v>
      </c>
      <c r="H20" t="s">
        <v>313</v>
      </c>
      <c r="I20" t="s">
        <v>314</v>
      </c>
      <c r="J20" t="s">
        <v>309</v>
      </c>
      <c r="K20" s="7"/>
      <c r="L20" t="str">
        <f>IFERROR(_xlfn.XLOOKUP(A20,feature_catalog!A:A,feature_catalog!A:A),"")</f>
        <v>penaltyConceded</v>
      </c>
    </row>
    <row r="21" spans="1:12" x14ac:dyDescent="0.4">
      <c r="A21" t="s">
        <v>159</v>
      </c>
      <c r="B21" t="s">
        <v>160</v>
      </c>
      <c r="C21" t="s">
        <v>79</v>
      </c>
      <c r="D21" t="s">
        <v>161</v>
      </c>
      <c r="E21" t="s">
        <v>162</v>
      </c>
      <c r="F21" t="s">
        <v>163</v>
      </c>
      <c r="G21" t="b">
        <v>0</v>
      </c>
      <c r="H21" t="s">
        <v>164</v>
      </c>
      <c r="I21" t="s">
        <v>165</v>
      </c>
      <c r="J21" t="s">
        <v>159</v>
      </c>
      <c r="K21" s="7">
        <v>1.5</v>
      </c>
      <c r="L21" t="str">
        <f>IFERROR(_xlfn.XLOOKUP(A21,feature_catalog!A:A,feature_catalog!A:A),"")</f>
        <v>accuratePassesPercentage</v>
      </c>
    </row>
    <row r="22" spans="1:12" x14ac:dyDescent="0.4">
      <c r="A22" t="s">
        <v>173</v>
      </c>
      <c r="B22" t="s">
        <v>174</v>
      </c>
      <c r="C22" t="s">
        <v>79</v>
      </c>
      <c r="D22" t="s">
        <v>175</v>
      </c>
      <c r="E22" t="s">
        <v>176</v>
      </c>
      <c r="F22" t="s">
        <v>170</v>
      </c>
      <c r="G22" t="b">
        <v>0</v>
      </c>
      <c r="H22" t="s">
        <v>177</v>
      </c>
      <c r="I22" t="s">
        <v>178</v>
      </c>
      <c r="J22" t="s">
        <v>173</v>
      </c>
      <c r="K22" s="7"/>
      <c r="L22" t="str">
        <f>IFERROR(_xlfn.XLOOKUP(A22,feature_catalog!A:A,feature_catalog!A:A),"")</f>
        <v>accurateLongBallsPercentage</v>
      </c>
    </row>
    <row r="23" spans="1:12" x14ac:dyDescent="0.4">
      <c r="A23" t="s">
        <v>166</v>
      </c>
      <c r="B23" t="s">
        <v>167</v>
      </c>
      <c r="C23" t="s">
        <v>11</v>
      </c>
      <c r="D23" t="s">
        <v>168</v>
      </c>
      <c r="E23" t="s">
        <v>169</v>
      </c>
      <c r="F23" t="s">
        <v>170</v>
      </c>
      <c r="G23" t="b">
        <v>0</v>
      </c>
      <c r="H23" t="s">
        <v>171</v>
      </c>
      <c r="I23" t="s">
        <v>172</v>
      </c>
      <c r="J23" t="s">
        <v>166</v>
      </c>
      <c r="K23" s="7"/>
      <c r="L23" t="str">
        <f>IFERROR(_xlfn.XLOOKUP(A23,feature_catalog!A:A,feature_catalog!A:A),"")</f>
        <v>accurateLongBalls</v>
      </c>
    </row>
    <row r="24" spans="1:12" x14ac:dyDescent="0.4">
      <c r="A24" t="s">
        <v>238</v>
      </c>
      <c r="B24" t="s">
        <v>239</v>
      </c>
      <c r="C24" t="s">
        <v>11</v>
      </c>
      <c r="D24" t="s">
        <v>240</v>
      </c>
      <c r="E24" t="s">
        <v>241</v>
      </c>
      <c r="F24" t="s">
        <v>242</v>
      </c>
      <c r="G24" t="b">
        <v>1</v>
      </c>
      <c r="H24" t="s">
        <v>243</v>
      </c>
      <c r="I24" t="s">
        <v>244</v>
      </c>
      <c r="J24" t="s">
        <v>238</v>
      </c>
      <c r="K24" s="7">
        <v>1</v>
      </c>
      <c r="L24" t="str">
        <f>IFERROR(_xlfn.XLOOKUP(A24,feature_catalog!A:A,feature_catalog!A:A),"")</f>
        <v>possessionLost</v>
      </c>
    </row>
    <row r="25" spans="1:12" x14ac:dyDescent="0.4">
      <c r="A25" t="s">
        <v>632</v>
      </c>
      <c r="B25" t="s">
        <v>633</v>
      </c>
      <c r="C25" t="s">
        <v>486</v>
      </c>
      <c r="D25" t="s">
        <v>634</v>
      </c>
      <c r="E25" t="s">
        <v>635</v>
      </c>
      <c r="F25" t="s">
        <v>636</v>
      </c>
      <c r="G25" t="b">
        <v>0</v>
      </c>
      <c r="H25" t="s">
        <v>637</v>
      </c>
      <c r="I25" t="s">
        <v>638</v>
      </c>
      <c r="J25" t="s">
        <v>632</v>
      </c>
      <c r="K25" s="7"/>
      <c r="L25" t="str">
        <f>IFERROR(_xlfn.XLOOKUP(A25,feature_catalog!A:A,feature_catalog!A:A),"")</f>
        <v>height</v>
      </c>
    </row>
    <row r="26" spans="1:12" x14ac:dyDescent="0.4">
      <c r="A26" t="s">
        <v>484</v>
      </c>
      <c r="B26" t="s">
        <v>485</v>
      </c>
      <c r="C26" t="s">
        <v>486</v>
      </c>
      <c r="D26" t="s">
        <v>487</v>
      </c>
      <c r="E26" t="s">
        <v>488</v>
      </c>
      <c r="F26" t="s">
        <v>489</v>
      </c>
      <c r="G26" t="b">
        <v>0</v>
      </c>
      <c r="H26" t="s">
        <v>490</v>
      </c>
      <c r="I26" t="s">
        <v>491</v>
      </c>
      <c r="J26" t="s">
        <v>484</v>
      </c>
      <c r="K26" s="7"/>
      <c r="L26" t="str">
        <f>IFERROR(_xlfn.XLOOKUP(A26,feature_catalog!A:A,feature_catalog!A:A),"")</f>
        <v>rating</v>
      </c>
    </row>
    <row r="27" spans="1:12" x14ac:dyDescent="0.4">
      <c r="A27" t="s">
        <v>572</v>
      </c>
      <c r="B27" t="s">
        <v>573</v>
      </c>
      <c r="C27" t="s">
        <v>486</v>
      </c>
      <c r="D27" t="s">
        <v>574</v>
      </c>
      <c r="E27" t="s">
        <v>575</v>
      </c>
      <c r="F27" t="s">
        <v>489</v>
      </c>
      <c r="G27" t="b">
        <v>0</v>
      </c>
      <c r="H27" t="s">
        <v>576</v>
      </c>
      <c r="I27" t="s">
        <v>577</v>
      </c>
      <c r="J27" t="s">
        <v>572</v>
      </c>
      <c r="K27" s="7"/>
      <c r="L27" t="str">
        <f>IFERROR(_xlfn.XLOOKUP(A27,feature_catalog!A:A,feature_catalog!A:A),"")</f>
        <v>averageX</v>
      </c>
    </row>
    <row r="28" spans="1:12" x14ac:dyDescent="0.4">
      <c r="A28" t="s">
        <v>578</v>
      </c>
      <c r="B28" t="s">
        <v>579</v>
      </c>
      <c r="C28" t="s">
        <v>486</v>
      </c>
      <c r="D28" t="s">
        <v>580</v>
      </c>
      <c r="E28" t="s">
        <v>581</v>
      </c>
      <c r="F28" t="s">
        <v>489</v>
      </c>
      <c r="G28" t="b">
        <v>0</v>
      </c>
      <c r="H28" t="s">
        <v>582</v>
      </c>
      <c r="I28" t="s">
        <v>583</v>
      </c>
      <c r="J28" t="s">
        <v>578</v>
      </c>
      <c r="K28" s="7"/>
      <c r="L28" t="str">
        <f>IFERROR(_xlfn.XLOOKUP(A28,feature_catalog!A:A,feature_catalog!A:A),"")</f>
        <v>averageY</v>
      </c>
    </row>
    <row r="29" spans="1:12" x14ac:dyDescent="0.4">
      <c r="L29">
        <f>IFERROR(_xlfn.XLOOKUP(A29,feature_catalog!A:A,feature_catalog!A:A),"")</f>
        <v>0</v>
      </c>
    </row>
    <row r="30" spans="1:12" x14ac:dyDescent="0.4">
      <c r="L30">
        <f>IFERROR(_xlfn.XLOOKUP(A30,feature_catalog!A:A,feature_catalog!A:A),"")</f>
        <v>0</v>
      </c>
    </row>
    <row r="31" spans="1:12" x14ac:dyDescent="0.4">
      <c r="L31">
        <f>IFERROR(_xlfn.XLOOKUP(A31,feature_catalog!A:A,feature_catalog!A:A),"")</f>
        <v>0</v>
      </c>
    </row>
    <row r="32" spans="1:12" x14ac:dyDescent="0.4">
      <c r="L32" t="str">
        <f>IFERROR(_xlfn.XLOOKUP(A32,feature_catalog!A:A,feature_catalog!A:A),"")</f>
        <v/>
      </c>
    </row>
    <row r="33" spans="12:12" x14ac:dyDescent="0.4">
      <c r="L33">
        <f>IFERROR(_xlfn.XLOOKUP(A33,feature_catalog!A:A,feature_catalog!A:A),"")</f>
        <v>0</v>
      </c>
    </row>
    <row r="34" spans="12:12" x14ac:dyDescent="0.4">
      <c r="L34" t="str">
        <f>IFERROR(_xlfn.XLOOKUP(A34,feature_catalog!A:A,feature_catalog!A:A),"")</f>
        <v/>
      </c>
    </row>
    <row r="35" spans="12:12" x14ac:dyDescent="0.4">
      <c r="L35" t="str">
        <f>IFERROR(_xlfn.XLOOKUP(A35,feature_catalog!A:A,feature_catalog!A:A),"")</f>
        <v/>
      </c>
    </row>
    <row r="36" spans="12:12" x14ac:dyDescent="0.4">
      <c r="L36">
        <f>IFERROR(_xlfn.XLOOKUP(A36,feature_catalog!A:A,feature_catalog!A:A),"")</f>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CD331-0A1B-4879-AEA4-170FAB7BFFBF}">
  <dimension ref="A1:M29"/>
  <sheetViews>
    <sheetView topLeftCell="E1" workbookViewId="0">
      <pane ySplit="1" topLeftCell="A8" activePane="bottomLeft" state="frozen"/>
      <selection pane="bottomLeft" activeCell="M1" sqref="M1:M1048576"/>
    </sheetView>
  </sheetViews>
  <sheetFormatPr baseColWidth="10" defaultRowHeight="14.6" x14ac:dyDescent="0.4"/>
  <cols>
    <col min="1" max="1" width="25.4609375" bestFit="1" customWidth="1"/>
    <col min="2" max="2" width="16.69140625" bestFit="1" customWidth="1"/>
    <col min="3" max="3" width="4.4609375" bestFit="1" customWidth="1"/>
    <col min="4" max="4" width="234.3046875" bestFit="1" customWidth="1"/>
    <col min="5" max="5" width="148.3828125" bestFit="1" customWidth="1"/>
    <col min="6" max="6" width="20.15234375" bestFit="1" customWidth="1"/>
    <col min="7" max="7" width="7.765625" bestFit="1" customWidth="1"/>
    <col min="8" max="8" width="20.69140625" bestFit="1" customWidth="1"/>
    <col min="9" max="9" width="18.3046875" bestFit="1" customWidth="1"/>
    <col min="10" max="10" width="25.4609375" bestFit="1" customWidth="1"/>
    <col min="11" max="11" width="25.4609375" customWidth="1"/>
    <col min="12" max="12" width="11" bestFit="1" customWidth="1"/>
  </cols>
  <sheetData>
    <row r="1" spans="1:13" x14ac:dyDescent="0.4">
      <c r="A1" s="2" t="s">
        <v>0</v>
      </c>
      <c r="B1" s="2" t="s">
        <v>1</v>
      </c>
      <c r="C1" s="2" t="s">
        <v>2</v>
      </c>
      <c r="D1" s="2" t="s">
        <v>3</v>
      </c>
      <c r="E1" s="2" t="s">
        <v>4</v>
      </c>
      <c r="F1" s="2" t="s">
        <v>5</v>
      </c>
      <c r="G1" s="2" t="s">
        <v>6</v>
      </c>
      <c r="H1" s="2" t="s">
        <v>7</v>
      </c>
      <c r="I1" s="2" t="s">
        <v>8</v>
      </c>
      <c r="J1" s="2" t="s">
        <v>0</v>
      </c>
      <c r="K1" s="2" t="s">
        <v>645</v>
      </c>
      <c r="L1" s="2" t="s">
        <v>645</v>
      </c>
    </row>
    <row r="2" spans="1:13" x14ac:dyDescent="0.4">
      <c r="A2" t="s">
        <v>431</v>
      </c>
      <c r="B2" t="s">
        <v>432</v>
      </c>
      <c r="C2" t="s">
        <v>79</v>
      </c>
      <c r="D2" t="s">
        <v>433</v>
      </c>
      <c r="E2" t="s">
        <v>434</v>
      </c>
      <c r="F2" t="s">
        <v>435</v>
      </c>
      <c r="G2" t="b">
        <v>0</v>
      </c>
      <c r="H2" t="s">
        <v>436</v>
      </c>
      <c r="I2" t="s">
        <v>437</v>
      </c>
      <c r="J2" t="s">
        <v>431</v>
      </c>
      <c r="K2">
        <v>1.5</v>
      </c>
      <c r="L2" s="3" t="s">
        <v>646</v>
      </c>
      <c r="M2" t="str">
        <f>IFERROR(_xlfn.XLOOKUP(B2,feature_catalog!B:B,feature_catalog!B:B),"")</f>
        <v>aerial_duels_pct</v>
      </c>
    </row>
    <row r="3" spans="1:13" x14ac:dyDescent="0.4">
      <c r="A3" t="s">
        <v>418</v>
      </c>
      <c r="B3" t="s">
        <v>419</v>
      </c>
      <c r="C3" t="s">
        <v>79</v>
      </c>
      <c r="D3" t="s">
        <v>420</v>
      </c>
      <c r="E3" t="s">
        <v>421</v>
      </c>
      <c r="F3" t="s">
        <v>415</v>
      </c>
      <c r="G3" t="b">
        <v>0</v>
      </c>
      <c r="H3" t="s">
        <v>422</v>
      </c>
      <c r="I3" t="s">
        <v>423</v>
      </c>
      <c r="J3" t="s">
        <v>418</v>
      </c>
      <c r="K3">
        <v>2.5</v>
      </c>
      <c r="L3" s="3" t="s">
        <v>646</v>
      </c>
      <c r="M3" t="str">
        <f>IFERROR(_xlfn.XLOOKUP(B3,feature_catalog!B:B,feature_catalog!B:B),"")</f>
        <v>ground_duels_pct</v>
      </c>
    </row>
    <row r="4" spans="1:13" x14ac:dyDescent="0.4">
      <c r="A4" t="s">
        <v>404</v>
      </c>
      <c r="B4" t="s">
        <v>405</v>
      </c>
      <c r="C4" t="s">
        <v>79</v>
      </c>
      <c r="D4" t="s">
        <v>406</v>
      </c>
      <c r="E4" t="s">
        <v>407</v>
      </c>
      <c r="F4" t="s">
        <v>408</v>
      </c>
      <c r="G4" t="b">
        <v>0</v>
      </c>
      <c r="H4" t="s">
        <v>409</v>
      </c>
      <c r="I4" t="s">
        <v>410</v>
      </c>
      <c r="J4" t="s">
        <v>404</v>
      </c>
      <c r="L4" s="4" t="s">
        <v>647</v>
      </c>
      <c r="M4" t="str">
        <f>IFERROR(_xlfn.XLOOKUP(B4,feature_catalog!B:B,feature_catalog!B:B),"")</f>
        <v>duels_won_pct</v>
      </c>
    </row>
    <row r="5" spans="1:13" x14ac:dyDescent="0.4">
      <c r="A5" t="s">
        <v>358</v>
      </c>
      <c r="B5" t="s">
        <v>359</v>
      </c>
      <c r="C5" t="s">
        <v>79</v>
      </c>
      <c r="D5" t="s">
        <v>360</v>
      </c>
      <c r="E5" t="s">
        <v>361</v>
      </c>
      <c r="F5" t="s">
        <v>349</v>
      </c>
      <c r="G5" t="b">
        <v>0</v>
      </c>
      <c r="H5" t="s">
        <v>362</v>
      </c>
      <c r="I5" t="s">
        <v>363</v>
      </c>
      <c r="J5" t="s">
        <v>358</v>
      </c>
      <c r="L5" s="3" t="s">
        <v>646</v>
      </c>
      <c r="M5" t="str">
        <f>IFERROR(_xlfn.XLOOKUP(B5,feature_catalog!B:B,feature_catalog!B:B),"")</f>
        <v>tackle_success_pct</v>
      </c>
    </row>
    <row r="6" spans="1:13" x14ac:dyDescent="0.4">
      <c r="A6" t="s">
        <v>345</v>
      </c>
      <c r="B6" t="s">
        <v>346</v>
      </c>
      <c r="C6" t="s">
        <v>11</v>
      </c>
      <c r="D6" t="s">
        <v>347</v>
      </c>
      <c r="E6" t="s">
        <v>348</v>
      </c>
      <c r="F6" t="s">
        <v>349</v>
      </c>
      <c r="G6" t="b">
        <v>0</v>
      </c>
      <c r="H6" t="s">
        <v>350</v>
      </c>
      <c r="I6" t="s">
        <v>351</v>
      </c>
      <c r="J6" t="s">
        <v>345</v>
      </c>
      <c r="L6" s="4" t="s">
        <v>647</v>
      </c>
      <c r="M6" t="str">
        <f>IFERROR(_xlfn.XLOOKUP(B6,feature_catalog!B:B,feature_catalog!B:B),"")</f>
        <v>tackles_p90</v>
      </c>
    </row>
    <row r="7" spans="1:13" x14ac:dyDescent="0.4">
      <c r="A7" t="s">
        <v>364</v>
      </c>
      <c r="B7" t="s">
        <v>365</v>
      </c>
      <c r="C7" t="s">
        <v>11</v>
      </c>
      <c r="D7" t="s">
        <v>366</v>
      </c>
      <c r="E7" t="s">
        <v>367</v>
      </c>
      <c r="F7" t="s">
        <v>349</v>
      </c>
      <c r="G7" t="b">
        <v>0</v>
      </c>
      <c r="H7" t="s">
        <v>368</v>
      </c>
      <c r="I7" t="s">
        <v>369</v>
      </c>
      <c r="J7" t="s">
        <v>364</v>
      </c>
      <c r="K7">
        <v>2</v>
      </c>
      <c r="L7" s="4" t="s">
        <v>647</v>
      </c>
      <c r="M7" t="str">
        <f>IFERROR(_xlfn.XLOOKUP(B7,feature_catalog!B:B,feature_catalog!B:B),"")</f>
        <v>interceptions_p90</v>
      </c>
    </row>
    <row r="8" spans="1:13" x14ac:dyDescent="0.4">
      <c r="A8" t="s">
        <v>370</v>
      </c>
      <c r="B8" t="s">
        <v>371</v>
      </c>
      <c r="C8" t="s">
        <v>11</v>
      </c>
      <c r="D8" t="s">
        <v>372</v>
      </c>
      <c r="E8" t="s">
        <v>373</v>
      </c>
      <c r="F8" t="s">
        <v>374</v>
      </c>
      <c r="G8" t="b">
        <v>0</v>
      </c>
      <c r="H8" t="s">
        <v>375</v>
      </c>
      <c r="I8" t="s">
        <v>376</v>
      </c>
      <c r="J8" t="s">
        <v>370</v>
      </c>
      <c r="L8" s="4" t="s">
        <v>647</v>
      </c>
      <c r="M8" t="str">
        <f>IFERROR(_xlfn.XLOOKUP(B8,feature_catalog!B:B,feature_catalog!B:B),"")</f>
        <v>clearances_p90</v>
      </c>
    </row>
    <row r="9" spans="1:13" x14ac:dyDescent="0.4">
      <c r="A9" t="s">
        <v>268</v>
      </c>
      <c r="B9" t="s">
        <v>269</v>
      </c>
      <c r="C9" t="s">
        <v>11</v>
      </c>
      <c r="D9" t="s">
        <v>270</v>
      </c>
      <c r="E9" t="s">
        <v>271</v>
      </c>
      <c r="F9" t="s">
        <v>272</v>
      </c>
      <c r="G9" t="b">
        <v>1</v>
      </c>
      <c r="H9" t="s">
        <v>273</v>
      </c>
      <c r="I9" t="s">
        <v>274</v>
      </c>
      <c r="J9" t="s">
        <v>268</v>
      </c>
      <c r="K9">
        <v>2</v>
      </c>
      <c r="L9" s="3" t="s">
        <v>646</v>
      </c>
      <c r="M9" t="str">
        <f>IFERROR(_xlfn.XLOOKUP(B9,feature_catalog!B:B,feature_catalog!B:B),"")</f>
        <v>dribbled_past_p90</v>
      </c>
    </row>
    <row r="10" spans="1:13" x14ac:dyDescent="0.4">
      <c r="A10" t="s">
        <v>329</v>
      </c>
      <c r="B10" t="s">
        <v>330</v>
      </c>
      <c r="C10" t="s">
        <v>11</v>
      </c>
      <c r="D10" t="s">
        <v>331</v>
      </c>
      <c r="E10" t="s">
        <v>332</v>
      </c>
      <c r="F10" t="s">
        <v>333</v>
      </c>
      <c r="G10" t="b">
        <v>1</v>
      </c>
      <c r="H10" t="s">
        <v>334</v>
      </c>
      <c r="I10" t="s">
        <v>335</v>
      </c>
      <c r="J10" t="s">
        <v>329</v>
      </c>
      <c r="L10" s="5" t="s">
        <v>648</v>
      </c>
      <c r="M10" t="str">
        <f>IFERROR(_xlfn.XLOOKUP(B10,feature_catalog!B:B,feature_catalog!B:B),"")</f>
        <v>errors_goal_p90</v>
      </c>
    </row>
    <row r="11" spans="1:13" x14ac:dyDescent="0.4">
      <c r="A11" t="s">
        <v>336</v>
      </c>
      <c r="B11" t="s">
        <v>337</v>
      </c>
      <c r="C11" t="s">
        <v>11</v>
      </c>
      <c r="D11" t="s">
        <v>338</v>
      </c>
      <c r="E11" t="s">
        <v>339</v>
      </c>
      <c r="F11" t="s">
        <v>333</v>
      </c>
      <c r="G11" t="b">
        <v>1</v>
      </c>
      <c r="H11" t="s">
        <v>340</v>
      </c>
      <c r="I11" t="s">
        <v>341</v>
      </c>
      <c r="J11" t="s">
        <v>336</v>
      </c>
      <c r="K11">
        <f>_xlfn.XLOOKUP(J11,defenseur_central!J:J,defenseur_central!K:K)</f>
        <v>2</v>
      </c>
      <c r="L11" s="5" t="s">
        <v>648</v>
      </c>
      <c r="M11" t="str">
        <f>IFERROR(_xlfn.XLOOKUP(B11,feature_catalog!B:B,feature_catalog!B:B),"")</f>
        <v>errors_shot_p90</v>
      </c>
    </row>
    <row r="12" spans="1:13" x14ac:dyDescent="0.4">
      <c r="A12" t="s">
        <v>302</v>
      </c>
      <c r="B12" t="s">
        <v>303</v>
      </c>
      <c r="C12" t="s">
        <v>11</v>
      </c>
      <c r="D12" t="s">
        <v>304</v>
      </c>
      <c r="E12" t="s">
        <v>305</v>
      </c>
      <c r="F12" t="s">
        <v>306</v>
      </c>
      <c r="G12" t="b">
        <v>1</v>
      </c>
      <c r="H12" t="s">
        <v>307</v>
      </c>
      <c r="I12" t="s">
        <v>308</v>
      </c>
      <c r="J12" t="s">
        <v>302</v>
      </c>
      <c r="L12" s="4" t="s">
        <v>647</v>
      </c>
      <c r="M12" t="str">
        <f>IFERROR(_xlfn.XLOOKUP(B12,feature_catalog!B:B,feature_catalog!B:B),"")</f>
        <v>fouls_p90</v>
      </c>
    </row>
    <row r="13" spans="1:13" x14ac:dyDescent="0.4">
      <c r="A13" t="s">
        <v>309</v>
      </c>
      <c r="B13" t="s">
        <v>310</v>
      </c>
      <c r="C13" t="s">
        <v>11</v>
      </c>
      <c r="D13" t="s">
        <v>311</v>
      </c>
      <c r="E13" t="s">
        <v>312</v>
      </c>
      <c r="F13" t="s">
        <v>272</v>
      </c>
      <c r="G13" t="b">
        <v>1</v>
      </c>
      <c r="H13" t="s">
        <v>313</v>
      </c>
      <c r="I13" t="s">
        <v>314</v>
      </c>
      <c r="J13" t="s">
        <v>309</v>
      </c>
      <c r="L13" s="3" t="s">
        <v>646</v>
      </c>
      <c r="M13" t="str">
        <f>IFERROR(_xlfn.XLOOKUP(B13,feature_catalog!B:B,feature_catalog!B:B),"")</f>
        <v>penalty_conc_p90</v>
      </c>
    </row>
    <row r="14" spans="1:13" x14ac:dyDescent="0.4">
      <c r="A14" t="s">
        <v>212</v>
      </c>
      <c r="B14" t="s">
        <v>213</v>
      </c>
      <c r="C14" t="s">
        <v>11</v>
      </c>
      <c r="D14" t="s">
        <v>214</v>
      </c>
      <c r="E14" t="s">
        <v>215</v>
      </c>
      <c r="F14" t="s">
        <v>216</v>
      </c>
      <c r="G14" t="b">
        <v>0</v>
      </c>
      <c r="H14" t="s">
        <v>217</v>
      </c>
      <c r="I14" t="s">
        <v>218</v>
      </c>
      <c r="J14" t="s">
        <v>212</v>
      </c>
      <c r="L14" s="3" t="s">
        <v>646</v>
      </c>
      <c r="M14" t="str">
        <f>IFERROR(_xlfn.XLOOKUP(B14,feature_catalog!B:B,feature_catalog!B:B),"")</f>
        <v>dribbles_p90</v>
      </c>
    </row>
    <row r="15" spans="1:13" x14ac:dyDescent="0.4">
      <c r="A15" t="s">
        <v>219</v>
      </c>
      <c r="B15" t="s">
        <v>220</v>
      </c>
      <c r="C15" t="s">
        <v>79</v>
      </c>
      <c r="D15" t="s">
        <v>221</v>
      </c>
      <c r="E15" t="s">
        <v>222</v>
      </c>
      <c r="F15" t="s">
        <v>223</v>
      </c>
      <c r="G15" t="b">
        <v>0</v>
      </c>
      <c r="H15" t="s">
        <v>224</v>
      </c>
      <c r="I15" t="s">
        <v>225</v>
      </c>
      <c r="J15" t="s">
        <v>219</v>
      </c>
      <c r="L15" s="3" t="s">
        <v>646</v>
      </c>
      <c r="M15" t="str">
        <f>IFERROR(_xlfn.XLOOKUP(B15,feature_catalog!B:B,feature_catalog!B:B),"")</f>
        <v>dribble_pct</v>
      </c>
    </row>
    <row r="16" spans="1:13" x14ac:dyDescent="0.4">
      <c r="A16" t="s">
        <v>238</v>
      </c>
      <c r="B16" t="s">
        <v>239</v>
      </c>
      <c r="C16" t="s">
        <v>11</v>
      </c>
      <c r="D16" t="s">
        <v>240</v>
      </c>
      <c r="E16" t="s">
        <v>241</v>
      </c>
      <c r="F16" t="s">
        <v>242</v>
      </c>
      <c r="G16" t="b">
        <v>1</v>
      </c>
      <c r="H16" t="s">
        <v>243</v>
      </c>
      <c r="I16" t="s">
        <v>244</v>
      </c>
      <c r="J16" t="s">
        <v>238</v>
      </c>
      <c r="K16">
        <v>1</v>
      </c>
      <c r="L16" s="5" t="s">
        <v>648</v>
      </c>
      <c r="M16" t="str">
        <f>IFERROR(_xlfn.XLOOKUP(B16,feature_catalog!B:B,feature_catalog!B:B),"")</f>
        <v>poss_lost_p90</v>
      </c>
    </row>
    <row r="17" spans="1:13" x14ac:dyDescent="0.4">
      <c r="A17" t="s">
        <v>232</v>
      </c>
      <c r="B17" t="s">
        <v>233</v>
      </c>
      <c r="C17" t="s">
        <v>11</v>
      </c>
      <c r="D17" t="s">
        <v>234</v>
      </c>
      <c r="E17" t="s">
        <v>235</v>
      </c>
      <c r="F17" t="s">
        <v>216</v>
      </c>
      <c r="G17" t="b">
        <v>1</v>
      </c>
      <c r="H17" t="s">
        <v>236</v>
      </c>
      <c r="I17" t="s">
        <v>237</v>
      </c>
      <c r="J17" t="s">
        <v>232</v>
      </c>
      <c r="K17">
        <v>1</v>
      </c>
      <c r="L17" s="3" t="s">
        <v>646</v>
      </c>
      <c r="M17" t="str">
        <f>IFERROR(_xlfn.XLOOKUP(B17,feature_catalog!B:B,feature_catalog!B:B),"")</f>
        <v>dispossessed_p90</v>
      </c>
    </row>
    <row r="18" spans="1:13" x14ac:dyDescent="0.4">
      <c r="A18" t="s">
        <v>38</v>
      </c>
      <c r="B18" t="s">
        <v>39</v>
      </c>
      <c r="C18" t="s">
        <v>11</v>
      </c>
      <c r="D18" t="s">
        <v>40</v>
      </c>
      <c r="E18" t="s">
        <v>41</v>
      </c>
      <c r="F18" t="s">
        <v>42</v>
      </c>
      <c r="G18" t="b">
        <v>0</v>
      </c>
      <c r="H18" t="s">
        <v>43</v>
      </c>
      <c r="I18" t="s">
        <v>44</v>
      </c>
      <c r="J18" t="s">
        <v>38</v>
      </c>
      <c r="K18">
        <v>2</v>
      </c>
      <c r="L18" s="5" t="s">
        <v>648</v>
      </c>
      <c r="M18" t="str">
        <f>IFERROR(_xlfn.XLOOKUP(B18,feature_catalog!B:B,feature_catalog!B:B),"")</f>
        <v>xgbuildup_p90</v>
      </c>
    </row>
    <row r="19" spans="1:13" x14ac:dyDescent="0.4">
      <c r="A19" t="s">
        <v>106</v>
      </c>
      <c r="B19" t="s">
        <v>107</v>
      </c>
      <c r="C19" t="s">
        <v>11</v>
      </c>
      <c r="D19" t="s">
        <v>108</v>
      </c>
      <c r="E19" t="s">
        <v>109</v>
      </c>
      <c r="F19" t="s">
        <v>110</v>
      </c>
      <c r="G19" t="b">
        <v>0</v>
      </c>
      <c r="H19" t="s">
        <v>111</v>
      </c>
      <c r="I19" t="s">
        <v>112</v>
      </c>
      <c r="J19" t="s">
        <v>106</v>
      </c>
      <c r="L19" s="3" t="s">
        <v>646</v>
      </c>
      <c r="M19" t="str">
        <f>IFERROR(_xlfn.XLOOKUP(B19,feature_catalog!B:B,feature_catalog!B:B),"")</f>
        <v>passes_f3_p90</v>
      </c>
    </row>
    <row r="20" spans="1:13" x14ac:dyDescent="0.4">
      <c r="A20" t="s">
        <v>125</v>
      </c>
      <c r="B20" t="s">
        <v>126</v>
      </c>
      <c r="C20" t="s">
        <v>11</v>
      </c>
      <c r="D20" t="s">
        <v>127</v>
      </c>
      <c r="E20" t="s">
        <v>128</v>
      </c>
      <c r="F20" t="s">
        <v>129</v>
      </c>
      <c r="G20" t="b">
        <v>0</v>
      </c>
      <c r="H20" t="s">
        <v>130</v>
      </c>
      <c r="I20" t="s">
        <v>131</v>
      </c>
      <c r="J20" t="s">
        <v>125</v>
      </c>
      <c r="L20" s="4" t="s">
        <v>647</v>
      </c>
      <c r="M20" t="str">
        <f>IFERROR(_xlfn.XLOOKUP(B20,feature_catalog!B:B,feature_catalog!B:B),"")</f>
        <v>key_passes_p90</v>
      </c>
    </row>
    <row r="21" spans="1:13" x14ac:dyDescent="0.4">
      <c r="A21" t="s">
        <v>113</v>
      </c>
      <c r="B21" t="s">
        <v>114</v>
      </c>
      <c r="C21" t="s">
        <v>11</v>
      </c>
      <c r="D21" t="s">
        <v>115</v>
      </c>
      <c r="E21" t="s">
        <v>116</v>
      </c>
      <c r="F21" t="s">
        <v>96</v>
      </c>
      <c r="G21" t="b">
        <v>0</v>
      </c>
      <c r="H21" t="s">
        <v>117</v>
      </c>
      <c r="I21" t="s">
        <v>118</v>
      </c>
      <c r="J21" t="s">
        <v>113</v>
      </c>
      <c r="L21" s="4" t="s">
        <v>647</v>
      </c>
      <c r="M21" t="str">
        <f>IFERROR(_xlfn.XLOOKUP(B21,feature_catalog!B:B,feature_catalog!B:B),"")</f>
        <v>xa_p90</v>
      </c>
    </row>
    <row r="22" spans="1:13" x14ac:dyDescent="0.4">
      <c r="A22" t="s">
        <v>139</v>
      </c>
      <c r="B22" t="s">
        <v>140</v>
      </c>
      <c r="C22" t="s">
        <v>11</v>
      </c>
      <c r="D22" t="s">
        <v>141</v>
      </c>
      <c r="E22" t="s">
        <v>142</v>
      </c>
      <c r="F22" t="s">
        <v>143</v>
      </c>
      <c r="G22" t="b">
        <v>0</v>
      </c>
      <c r="H22" t="s">
        <v>144</v>
      </c>
      <c r="I22" t="s">
        <v>145</v>
      </c>
      <c r="J22" t="s">
        <v>139</v>
      </c>
      <c r="L22" s="4" t="s">
        <v>647</v>
      </c>
      <c r="M22" t="str">
        <f>IFERROR(_xlfn.XLOOKUP(B22,feature_catalog!B:B,feature_catalog!B:B),"")</f>
        <v/>
      </c>
    </row>
    <row r="23" spans="1:13" x14ac:dyDescent="0.4">
      <c r="A23" t="s">
        <v>159</v>
      </c>
      <c r="B23" t="s">
        <v>160</v>
      </c>
      <c r="C23" t="s">
        <v>79</v>
      </c>
      <c r="D23" t="s">
        <v>161</v>
      </c>
      <c r="E23" t="s">
        <v>162</v>
      </c>
      <c r="F23" t="s">
        <v>163</v>
      </c>
      <c r="G23" t="b">
        <v>0</v>
      </c>
      <c r="H23" t="s">
        <v>164</v>
      </c>
      <c r="I23" t="s">
        <v>165</v>
      </c>
      <c r="J23" t="s">
        <v>159</v>
      </c>
      <c r="K23">
        <v>1.5</v>
      </c>
      <c r="L23" s="5" t="s">
        <v>648</v>
      </c>
      <c r="M23" t="str">
        <f>IFERROR(_xlfn.XLOOKUP(B23,feature_catalog!B:B,feature_catalog!B:B),"")</f>
        <v>pass_acc_pct</v>
      </c>
    </row>
    <row r="24" spans="1:13" x14ac:dyDescent="0.4">
      <c r="A24" t="s">
        <v>173</v>
      </c>
      <c r="B24" t="s">
        <v>174</v>
      </c>
      <c r="C24" t="s">
        <v>79</v>
      </c>
      <c r="D24" t="s">
        <v>175</v>
      </c>
      <c r="E24" t="s">
        <v>176</v>
      </c>
      <c r="F24" t="s">
        <v>170</v>
      </c>
      <c r="G24" t="b">
        <v>0</v>
      </c>
      <c r="H24" t="s">
        <v>177</v>
      </c>
      <c r="I24" t="s">
        <v>178</v>
      </c>
      <c r="J24" t="s">
        <v>173</v>
      </c>
      <c r="L24" s="3" t="s">
        <v>646</v>
      </c>
      <c r="M24" t="str">
        <f>IFERROR(_xlfn.XLOOKUP(B24,feature_catalog!B:B,feature_catalog!B:B),"")</f>
        <v>long_balls_pct</v>
      </c>
    </row>
    <row r="25" spans="1:13" x14ac:dyDescent="0.4">
      <c r="A25" t="s">
        <v>166</v>
      </c>
      <c r="B25" t="s">
        <v>167</v>
      </c>
      <c r="C25" t="s">
        <v>11</v>
      </c>
      <c r="D25" t="s">
        <v>168</v>
      </c>
      <c r="E25" t="s">
        <v>169</v>
      </c>
      <c r="F25" t="s">
        <v>170</v>
      </c>
      <c r="G25" t="b">
        <v>0</v>
      </c>
      <c r="H25" t="s">
        <v>171</v>
      </c>
      <c r="I25" t="s">
        <v>172</v>
      </c>
      <c r="J25" t="s">
        <v>166</v>
      </c>
      <c r="L25" s="4" t="s">
        <v>647</v>
      </c>
      <c r="M25" t="str">
        <f>IFERROR(_xlfn.XLOOKUP(B25,feature_catalog!B:B,feature_catalog!B:B),"")</f>
        <v>long_balls_p90</v>
      </c>
    </row>
    <row r="26" spans="1:13" x14ac:dyDescent="0.4">
      <c r="A26" t="s">
        <v>572</v>
      </c>
      <c r="B26" t="s">
        <v>573</v>
      </c>
      <c r="C26" t="s">
        <v>486</v>
      </c>
      <c r="D26" t="s">
        <v>574</v>
      </c>
      <c r="E26" t="s">
        <v>575</v>
      </c>
      <c r="F26" t="s">
        <v>489</v>
      </c>
      <c r="G26" t="b">
        <v>0</v>
      </c>
      <c r="H26" t="s">
        <v>576</v>
      </c>
      <c r="I26" t="s">
        <v>577</v>
      </c>
      <c r="J26" t="s">
        <v>572</v>
      </c>
      <c r="L26" s="3" t="s">
        <v>646</v>
      </c>
      <c r="M26" t="str">
        <f>IFERROR(_xlfn.XLOOKUP(B26,feature_catalog!B:B,feature_catalog!B:B),"")</f>
        <v>avg_x</v>
      </c>
    </row>
    <row r="27" spans="1:13" x14ac:dyDescent="0.4">
      <c r="A27" t="s">
        <v>484</v>
      </c>
      <c r="B27" t="s">
        <v>485</v>
      </c>
      <c r="C27" t="s">
        <v>486</v>
      </c>
      <c r="D27" t="s">
        <v>487</v>
      </c>
      <c r="E27" t="s">
        <v>488</v>
      </c>
      <c r="F27" t="s">
        <v>489</v>
      </c>
      <c r="G27" t="b">
        <v>0</v>
      </c>
      <c r="H27" t="s">
        <v>490</v>
      </c>
      <c r="I27" t="s">
        <v>491</v>
      </c>
      <c r="J27" t="s">
        <v>484</v>
      </c>
      <c r="L27" s="4" t="s">
        <v>647</v>
      </c>
      <c r="M27" t="str">
        <f>IFERROR(_xlfn.XLOOKUP(B27,feature_catalog!B:B,feature_catalog!B:B),"")</f>
        <v>ss_rating</v>
      </c>
    </row>
    <row r="28" spans="1:13" x14ac:dyDescent="0.4">
      <c r="A28" t="s">
        <v>632</v>
      </c>
      <c r="B28" t="s">
        <v>633</v>
      </c>
      <c r="C28" t="s">
        <v>486</v>
      </c>
      <c r="D28" t="s">
        <v>634</v>
      </c>
      <c r="E28" t="s">
        <v>635</v>
      </c>
      <c r="F28" t="s">
        <v>636</v>
      </c>
      <c r="G28" t="b">
        <v>0</v>
      </c>
      <c r="H28" t="s">
        <v>637</v>
      </c>
      <c r="I28" t="s">
        <v>638</v>
      </c>
      <c r="J28" t="s">
        <v>632</v>
      </c>
      <c r="L28" s="4" t="s">
        <v>647</v>
      </c>
    </row>
    <row r="29" spans="1:13" x14ac:dyDescent="0.4">
      <c r="A29" t="s">
        <v>578</v>
      </c>
      <c r="B29" t="s">
        <v>579</v>
      </c>
      <c r="C29" t="s">
        <v>486</v>
      </c>
      <c r="D29" t="s">
        <v>580</v>
      </c>
      <c r="E29" t="s">
        <v>581</v>
      </c>
      <c r="F29" t="s">
        <v>489</v>
      </c>
      <c r="G29" t="b">
        <v>0</v>
      </c>
      <c r="H29" t="s">
        <v>582</v>
      </c>
      <c r="I29" t="s">
        <v>583</v>
      </c>
      <c r="J29" t="s">
        <v>578</v>
      </c>
      <c r="L29" s="4" t="s">
        <v>647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5AEB3-38D7-49EB-B5D3-267D26624A99}">
  <dimension ref="A1:L30"/>
  <sheetViews>
    <sheetView topLeftCell="F1" workbookViewId="0">
      <pane ySplit="1" topLeftCell="A13" activePane="bottomLeft" state="frozen"/>
      <selection pane="bottomLeft" activeCell="L1" sqref="L1:L1048576"/>
    </sheetView>
  </sheetViews>
  <sheetFormatPr baseColWidth="10" defaultRowHeight="14.6" x14ac:dyDescent="0.4"/>
  <cols>
    <col min="1" max="1" width="23.921875" bestFit="1" customWidth="1"/>
    <col min="2" max="2" width="16.69140625" bestFit="1" customWidth="1"/>
    <col min="3" max="3" width="4.4609375" bestFit="1" customWidth="1"/>
    <col min="4" max="4" width="234.3046875" bestFit="1" customWidth="1"/>
    <col min="5" max="5" width="148.3828125" bestFit="1" customWidth="1"/>
    <col min="6" max="6" width="20.15234375" bestFit="1" customWidth="1"/>
    <col min="7" max="7" width="7.765625" bestFit="1" customWidth="1"/>
    <col min="8" max="8" width="20.69140625" bestFit="1" customWidth="1"/>
    <col min="9" max="9" width="18.3046875" bestFit="1" customWidth="1"/>
    <col min="10" max="10" width="23.921875" bestFit="1" customWidth="1"/>
    <col min="11" max="11" width="23.921875" customWidth="1"/>
  </cols>
  <sheetData>
    <row r="1" spans="1:12" x14ac:dyDescent="0.4">
      <c r="A1" s="8" t="s">
        <v>0</v>
      </c>
      <c r="B1" s="8" t="s">
        <v>1</v>
      </c>
      <c r="C1" s="8" t="s">
        <v>2</v>
      </c>
      <c r="D1" s="8" t="s">
        <v>3</v>
      </c>
      <c r="E1" s="8" t="s">
        <v>4</v>
      </c>
      <c r="F1" s="8" t="s">
        <v>5</v>
      </c>
      <c r="G1" s="8" t="s">
        <v>6</v>
      </c>
      <c r="H1" s="8" t="s">
        <v>7</v>
      </c>
      <c r="I1" s="8" t="s">
        <v>8</v>
      </c>
      <c r="J1" s="8" t="s">
        <v>0</v>
      </c>
      <c r="K1" s="8" t="s">
        <v>645</v>
      </c>
    </row>
    <row r="2" spans="1:12" x14ac:dyDescent="0.4">
      <c r="A2" t="s">
        <v>418</v>
      </c>
      <c r="B2" t="s">
        <v>419</v>
      </c>
      <c r="C2" t="s">
        <v>79</v>
      </c>
      <c r="D2" t="s">
        <v>420</v>
      </c>
      <c r="E2" t="s">
        <v>421</v>
      </c>
      <c r="F2" t="s">
        <v>415</v>
      </c>
      <c r="G2" t="b">
        <v>0</v>
      </c>
      <c r="H2" t="s">
        <v>422</v>
      </c>
      <c r="I2" t="s">
        <v>423</v>
      </c>
      <c r="J2" t="s">
        <v>418</v>
      </c>
      <c r="K2">
        <v>2</v>
      </c>
      <c r="L2" t="str">
        <f>IFERROR(_xlfn.XLOOKUP(A2,feature_catalog!A:A,feature_catalog!A:A),"")</f>
        <v>groundDuelsWonPercentage</v>
      </c>
    </row>
    <row r="3" spans="1:12" x14ac:dyDescent="0.4">
      <c r="A3" t="s">
        <v>431</v>
      </c>
      <c r="B3" t="s">
        <v>432</v>
      </c>
      <c r="C3" t="s">
        <v>79</v>
      </c>
      <c r="D3" t="s">
        <v>433</v>
      </c>
      <c r="E3" t="s">
        <v>434</v>
      </c>
      <c r="F3" t="s">
        <v>435</v>
      </c>
      <c r="G3" t="b">
        <v>0</v>
      </c>
      <c r="H3" t="s">
        <v>436</v>
      </c>
      <c r="I3" t="s">
        <v>437</v>
      </c>
      <c r="J3" t="s">
        <v>431</v>
      </c>
      <c r="K3">
        <v>1</v>
      </c>
      <c r="L3" t="str">
        <f>IFERROR(_xlfn.XLOOKUP(A3,feature_catalog!A:A,feature_catalog!A:A),"")</f>
        <v>aerialDuelsWonPercentage</v>
      </c>
    </row>
    <row r="4" spans="1:12" x14ac:dyDescent="0.4">
      <c r="A4" t="s">
        <v>358</v>
      </c>
      <c r="B4" t="s">
        <v>359</v>
      </c>
      <c r="C4" t="s">
        <v>79</v>
      </c>
      <c r="D4" t="s">
        <v>360</v>
      </c>
      <c r="E4" t="s">
        <v>361</v>
      </c>
      <c r="F4" t="s">
        <v>349</v>
      </c>
      <c r="G4" t="b">
        <v>0</v>
      </c>
      <c r="H4" t="s">
        <v>362</v>
      </c>
      <c r="I4" t="s">
        <v>363</v>
      </c>
      <c r="J4" t="s">
        <v>358</v>
      </c>
      <c r="L4" t="str">
        <f>IFERROR(_xlfn.XLOOKUP(A4,feature_catalog!A:A,feature_catalog!A:A),"")</f>
        <v>_tackle_success_pct</v>
      </c>
    </row>
    <row r="5" spans="1:12" x14ac:dyDescent="0.4">
      <c r="A5" t="s">
        <v>345</v>
      </c>
      <c r="B5" t="s">
        <v>346</v>
      </c>
      <c r="C5" t="s">
        <v>11</v>
      </c>
      <c r="D5" t="s">
        <v>347</v>
      </c>
      <c r="E5" t="s">
        <v>348</v>
      </c>
      <c r="F5" t="s">
        <v>349</v>
      </c>
      <c r="G5" t="b">
        <v>0</v>
      </c>
      <c r="H5" t="s">
        <v>350</v>
      </c>
      <c r="I5" t="s">
        <v>351</v>
      </c>
      <c r="J5" t="s">
        <v>345</v>
      </c>
      <c r="L5" t="str">
        <f>IFERROR(_xlfn.XLOOKUP(A5,feature_catalog!A:A,feature_catalog!A:A),"")</f>
        <v>tackles</v>
      </c>
    </row>
    <row r="6" spans="1:12" x14ac:dyDescent="0.4">
      <c r="A6" t="s">
        <v>352</v>
      </c>
      <c r="B6" t="s">
        <v>353</v>
      </c>
      <c r="C6" t="s">
        <v>11</v>
      </c>
      <c r="D6" t="s">
        <v>354</v>
      </c>
      <c r="E6" t="s">
        <v>355</v>
      </c>
      <c r="F6" t="s">
        <v>349</v>
      </c>
      <c r="G6" t="b">
        <v>0</v>
      </c>
      <c r="H6" t="s">
        <v>356</v>
      </c>
      <c r="I6" t="s">
        <v>357</v>
      </c>
      <c r="J6" t="s">
        <v>352</v>
      </c>
      <c r="L6" t="str">
        <f>IFERROR(_xlfn.XLOOKUP(A6,feature_catalog!A:A,feature_catalog!A:A),"")</f>
        <v>tacklesWon</v>
      </c>
    </row>
    <row r="7" spans="1:12" x14ac:dyDescent="0.4">
      <c r="A7" t="s">
        <v>364</v>
      </c>
      <c r="B7" t="s">
        <v>365</v>
      </c>
      <c r="C7" t="s">
        <v>11</v>
      </c>
      <c r="D7" t="s">
        <v>366</v>
      </c>
      <c r="E7" t="s">
        <v>367</v>
      </c>
      <c r="F7" t="s">
        <v>349</v>
      </c>
      <c r="G7" t="b">
        <v>0</v>
      </c>
      <c r="H7" t="s">
        <v>368</v>
      </c>
      <c r="I7" t="s">
        <v>369</v>
      </c>
      <c r="J7" t="s">
        <v>364</v>
      </c>
      <c r="K7">
        <v>1.5</v>
      </c>
      <c r="L7" t="str">
        <f>IFERROR(_xlfn.XLOOKUP(A7,feature_catalog!A:A,feature_catalog!A:A),"")</f>
        <v>interceptions</v>
      </c>
    </row>
    <row r="8" spans="1:12" x14ac:dyDescent="0.4">
      <c r="A8" t="s">
        <v>268</v>
      </c>
      <c r="B8" t="s">
        <v>269</v>
      </c>
      <c r="C8" t="s">
        <v>11</v>
      </c>
      <c r="D8" t="s">
        <v>270</v>
      </c>
      <c r="E8" t="s">
        <v>271</v>
      </c>
      <c r="F8" t="s">
        <v>272</v>
      </c>
      <c r="G8" t="b">
        <v>1</v>
      </c>
      <c r="H8" t="s">
        <v>273</v>
      </c>
      <c r="I8" t="s">
        <v>274</v>
      </c>
      <c r="J8" t="s">
        <v>268</v>
      </c>
      <c r="K8">
        <v>2</v>
      </c>
      <c r="L8" t="str">
        <f>IFERROR(_xlfn.XLOOKUP(A8,feature_catalog!A:A,feature_catalog!A:A),"")</f>
        <v>dribbledPast</v>
      </c>
    </row>
    <row r="9" spans="1:12" x14ac:dyDescent="0.4">
      <c r="A9" t="s">
        <v>370</v>
      </c>
      <c r="B9" t="s">
        <v>371</v>
      </c>
      <c r="C9" t="s">
        <v>11</v>
      </c>
      <c r="D9" t="s">
        <v>372</v>
      </c>
      <c r="E9" t="s">
        <v>373</v>
      </c>
      <c r="F9" t="s">
        <v>374</v>
      </c>
      <c r="G9" t="b">
        <v>0</v>
      </c>
      <c r="H9" t="s">
        <v>375</v>
      </c>
      <c r="I9" t="s">
        <v>376</v>
      </c>
      <c r="J9" t="s">
        <v>370</v>
      </c>
      <c r="L9" t="str">
        <f>IFERROR(_xlfn.XLOOKUP(A9,feature_catalog!A:A,feature_catalog!A:A),"")</f>
        <v>clearances</v>
      </c>
    </row>
    <row r="10" spans="1:12" x14ac:dyDescent="0.4">
      <c r="A10" t="s">
        <v>377</v>
      </c>
      <c r="B10" t="s">
        <v>378</v>
      </c>
      <c r="C10" t="s">
        <v>11</v>
      </c>
      <c r="D10" t="s">
        <v>379</v>
      </c>
      <c r="E10" t="s">
        <v>380</v>
      </c>
      <c r="F10" t="s">
        <v>381</v>
      </c>
      <c r="G10" t="b">
        <v>0</v>
      </c>
      <c r="H10" t="s">
        <v>382</v>
      </c>
      <c r="I10" t="s">
        <v>383</v>
      </c>
      <c r="J10" t="s">
        <v>377</v>
      </c>
      <c r="L10" t="str">
        <f>IFERROR(_xlfn.XLOOKUP(A10,feature_catalog!A:A,feature_catalog!A:A),"")</f>
        <v/>
      </c>
    </row>
    <row r="11" spans="1:12" x14ac:dyDescent="0.4">
      <c r="A11" t="s">
        <v>258</v>
      </c>
      <c r="B11" t="s">
        <v>259</v>
      </c>
      <c r="C11" t="s">
        <v>11</v>
      </c>
      <c r="D11" t="s">
        <v>260</v>
      </c>
      <c r="E11" t="s">
        <v>261</v>
      </c>
      <c r="F11" t="s">
        <v>262</v>
      </c>
      <c r="G11" t="b">
        <v>0</v>
      </c>
      <c r="H11" t="s">
        <v>263</v>
      </c>
      <c r="I11" t="s">
        <v>264</v>
      </c>
      <c r="J11" t="s">
        <v>258</v>
      </c>
      <c r="K11">
        <v>1</v>
      </c>
      <c r="L11" t="str">
        <f>IFERROR(_xlfn.XLOOKUP(A11,feature_catalog!A:A,feature_catalog!A:A),"")</f>
        <v>ballRecovery</v>
      </c>
    </row>
    <row r="12" spans="1:12" x14ac:dyDescent="0.4">
      <c r="A12" t="s">
        <v>384</v>
      </c>
      <c r="B12" t="s">
        <v>385</v>
      </c>
      <c r="C12" t="s">
        <v>11</v>
      </c>
      <c r="D12" t="s">
        <v>386</v>
      </c>
      <c r="E12" t="s">
        <v>387</v>
      </c>
      <c r="F12" t="s">
        <v>388</v>
      </c>
      <c r="G12" t="b">
        <v>0</v>
      </c>
      <c r="H12" t="s">
        <v>389</v>
      </c>
      <c r="I12" t="s">
        <v>390</v>
      </c>
      <c r="J12" t="s">
        <v>384</v>
      </c>
      <c r="L12" t="str">
        <f>IFERROR(_xlfn.XLOOKUP(A12,feature_catalog!A:A,feature_catalog!A:A),"")</f>
        <v>blockedShots</v>
      </c>
    </row>
    <row r="13" spans="1:12" x14ac:dyDescent="0.4">
      <c r="A13" t="s">
        <v>329</v>
      </c>
      <c r="B13" t="s">
        <v>330</v>
      </c>
      <c r="C13" t="s">
        <v>11</v>
      </c>
      <c r="D13" t="s">
        <v>331</v>
      </c>
      <c r="E13" t="s">
        <v>332</v>
      </c>
      <c r="F13" t="s">
        <v>333</v>
      </c>
      <c r="G13" t="b">
        <v>1</v>
      </c>
      <c r="H13" t="s">
        <v>334</v>
      </c>
      <c r="I13" t="s">
        <v>335</v>
      </c>
      <c r="J13" t="s">
        <v>329</v>
      </c>
      <c r="L13" t="str">
        <f>IFERROR(_xlfn.XLOOKUP(A13,feature_catalog!A:A,feature_catalog!A:A),"")</f>
        <v>errorLeadToGoal</v>
      </c>
    </row>
    <row r="14" spans="1:12" x14ac:dyDescent="0.4">
      <c r="A14" t="s">
        <v>336</v>
      </c>
      <c r="B14" t="s">
        <v>337</v>
      </c>
      <c r="C14" t="s">
        <v>11</v>
      </c>
      <c r="D14" t="s">
        <v>338</v>
      </c>
      <c r="E14" t="s">
        <v>339</v>
      </c>
      <c r="F14" t="s">
        <v>333</v>
      </c>
      <c r="G14" t="b">
        <v>1</v>
      </c>
      <c r="H14" t="s">
        <v>340</v>
      </c>
      <c r="I14" t="s">
        <v>341</v>
      </c>
      <c r="J14" t="s">
        <v>336</v>
      </c>
      <c r="K14">
        <v>1</v>
      </c>
      <c r="L14" t="str">
        <f>IFERROR(_xlfn.XLOOKUP(A14,feature_catalog!A:A,feature_catalog!A:A),"")</f>
        <v>errorLeadToShot</v>
      </c>
    </row>
    <row r="15" spans="1:12" x14ac:dyDescent="0.4">
      <c r="A15" t="s">
        <v>302</v>
      </c>
      <c r="B15" t="s">
        <v>303</v>
      </c>
      <c r="C15" t="s">
        <v>11</v>
      </c>
      <c r="D15" t="s">
        <v>304</v>
      </c>
      <c r="E15" t="s">
        <v>305</v>
      </c>
      <c r="F15" t="s">
        <v>306</v>
      </c>
      <c r="G15" t="b">
        <v>1</v>
      </c>
      <c r="H15" t="s">
        <v>307</v>
      </c>
      <c r="I15" t="s">
        <v>308</v>
      </c>
      <c r="J15" t="s">
        <v>302</v>
      </c>
      <c r="K15">
        <v>1</v>
      </c>
      <c r="L15" t="str">
        <f>IFERROR(_xlfn.XLOOKUP(A15,feature_catalog!A:A,feature_catalog!A:A),"")</f>
        <v>fouls</v>
      </c>
    </row>
    <row r="16" spans="1:12" x14ac:dyDescent="0.4">
      <c r="A16" t="s">
        <v>309</v>
      </c>
      <c r="B16" t="s">
        <v>310</v>
      </c>
      <c r="C16" t="s">
        <v>11</v>
      </c>
      <c r="D16" t="s">
        <v>311</v>
      </c>
      <c r="E16" t="s">
        <v>312</v>
      </c>
      <c r="F16" t="s">
        <v>272</v>
      </c>
      <c r="G16" t="b">
        <v>1</v>
      </c>
      <c r="H16" t="s">
        <v>313</v>
      </c>
      <c r="I16" t="s">
        <v>314</v>
      </c>
      <c r="J16" t="s">
        <v>309</v>
      </c>
      <c r="L16" t="str">
        <f>IFERROR(_xlfn.XLOOKUP(A16,feature_catalog!A:A,feature_catalog!A:A),"")</f>
        <v>penaltyConceded</v>
      </c>
    </row>
    <row r="17" spans="1:12" x14ac:dyDescent="0.4">
      <c r="A17" t="s">
        <v>159</v>
      </c>
      <c r="B17" t="s">
        <v>160</v>
      </c>
      <c r="C17" t="s">
        <v>79</v>
      </c>
      <c r="D17" t="s">
        <v>161</v>
      </c>
      <c r="E17" t="s">
        <v>162</v>
      </c>
      <c r="F17" t="s">
        <v>163</v>
      </c>
      <c r="G17" t="b">
        <v>0</v>
      </c>
      <c r="H17" t="s">
        <v>164</v>
      </c>
      <c r="I17" t="s">
        <v>165</v>
      </c>
      <c r="J17" t="s">
        <v>159</v>
      </c>
      <c r="K17">
        <v>2</v>
      </c>
      <c r="L17" t="str">
        <f>IFERROR(_xlfn.XLOOKUP(A17,feature_catalog!A:A,feature_catalog!A:A),"")</f>
        <v>accuratePassesPercentage</v>
      </c>
    </row>
    <row r="18" spans="1:12" x14ac:dyDescent="0.4">
      <c r="A18" t="s">
        <v>238</v>
      </c>
      <c r="B18" t="s">
        <v>239</v>
      </c>
      <c r="C18" t="s">
        <v>11</v>
      </c>
      <c r="D18" t="s">
        <v>240</v>
      </c>
      <c r="E18" t="s">
        <v>241</v>
      </c>
      <c r="F18" t="s">
        <v>242</v>
      </c>
      <c r="G18" t="b">
        <v>1</v>
      </c>
      <c r="H18" t="s">
        <v>243</v>
      </c>
      <c r="I18" t="s">
        <v>244</v>
      </c>
      <c r="J18" t="s">
        <v>238</v>
      </c>
      <c r="K18">
        <v>1</v>
      </c>
      <c r="L18" t="str">
        <f>IFERROR(_xlfn.XLOOKUP(A18,feature_catalog!A:A,feature_catalog!A:A),"")</f>
        <v>possessionLost</v>
      </c>
    </row>
    <row r="19" spans="1:12" x14ac:dyDescent="0.4">
      <c r="A19" t="s">
        <v>232</v>
      </c>
      <c r="B19" t="s">
        <v>233</v>
      </c>
      <c r="C19" t="s">
        <v>11</v>
      </c>
      <c r="D19" t="s">
        <v>234</v>
      </c>
      <c r="E19" t="s">
        <v>235</v>
      </c>
      <c r="F19" t="s">
        <v>216</v>
      </c>
      <c r="G19" t="b">
        <v>1</v>
      </c>
      <c r="H19" t="s">
        <v>236</v>
      </c>
      <c r="I19" t="s">
        <v>237</v>
      </c>
      <c r="J19" t="s">
        <v>232</v>
      </c>
      <c r="L19" t="str">
        <f>IFERROR(_xlfn.XLOOKUP(A19,feature_catalog!A:A,feature_catalog!A:A),"")</f>
        <v>dispossessed</v>
      </c>
    </row>
    <row r="20" spans="1:12" x14ac:dyDescent="0.4">
      <c r="A20" t="s">
        <v>179</v>
      </c>
      <c r="B20" t="s">
        <v>180</v>
      </c>
      <c r="C20" t="s">
        <v>11</v>
      </c>
      <c r="D20" t="s">
        <v>181</v>
      </c>
      <c r="E20" t="s">
        <v>182</v>
      </c>
      <c r="F20" t="s">
        <v>183</v>
      </c>
      <c r="G20" t="b">
        <v>0</v>
      </c>
      <c r="H20" t="s">
        <v>184</v>
      </c>
      <c r="I20" t="s">
        <v>185</v>
      </c>
      <c r="J20" t="s">
        <v>179</v>
      </c>
      <c r="L20" t="str">
        <f>IFERROR(_xlfn.XLOOKUP(A20,feature_catalog!A:A,feature_catalog!A:A),"")</f>
        <v>accurateCrosses</v>
      </c>
    </row>
    <row r="21" spans="1:12" x14ac:dyDescent="0.4">
      <c r="A21" t="s">
        <v>186</v>
      </c>
      <c r="B21" t="s">
        <v>187</v>
      </c>
      <c r="C21" t="s">
        <v>79</v>
      </c>
      <c r="D21" t="s">
        <v>188</v>
      </c>
      <c r="E21" t="s">
        <v>189</v>
      </c>
      <c r="F21" t="s">
        <v>183</v>
      </c>
      <c r="G21" t="b">
        <v>0</v>
      </c>
      <c r="H21" t="s">
        <v>190</v>
      </c>
      <c r="I21" t="s">
        <v>191</v>
      </c>
      <c r="J21" t="s">
        <v>186</v>
      </c>
      <c r="K21">
        <v>1</v>
      </c>
      <c r="L21" t="str">
        <f>IFERROR(_xlfn.XLOOKUP(A21,feature_catalog!A:A,feature_catalog!A:A),"")</f>
        <v>accurateCrossesPercentage</v>
      </c>
    </row>
    <row r="22" spans="1:12" x14ac:dyDescent="0.4">
      <c r="A22" t="s">
        <v>192</v>
      </c>
      <c r="B22" t="s">
        <v>193</v>
      </c>
      <c r="C22" t="s">
        <v>11</v>
      </c>
      <c r="D22" t="s">
        <v>194</v>
      </c>
      <c r="E22" t="s">
        <v>195</v>
      </c>
      <c r="F22" t="s">
        <v>196</v>
      </c>
      <c r="G22" t="b">
        <v>0</v>
      </c>
      <c r="H22" t="s">
        <v>197</v>
      </c>
      <c r="I22" t="s">
        <v>198</v>
      </c>
      <c r="J22" t="s">
        <v>192</v>
      </c>
      <c r="L22" t="str">
        <f>IFERROR(_xlfn.XLOOKUP(A22,feature_catalog!A:A,feature_catalog!A:A),"")</f>
        <v>totalCrosses</v>
      </c>
    </row>
    <row r="23" spans="1:12" x14ac:dyDescent="0.4">
      <c r="A23" t="s">
        <v>38</v>
      </c>
      <c r="B23" t="s">
        <v>39</v>
      </c>
      <c r="C23" t="s">
        <v>11</v>
      </c>
      <c r="D23" t="s">
        <v>40</v>
      </c>
      <c r="E23" t="s">
        <v>41</v>
      </c>
      <c r="F23" t="s">
        <v>42</v>
      </c>
      <c r="G23" t="b">
        <v>0</v>
      </c>
      <c r="H23" t="s">
        <v>43</v>
      </c>
      <c r="I23" t="s">
        <v>44</v>
      </c>
      <c r="J23" t="s">
        <v>38</v>
      </c>
      <c r="L23" t="str">
        <f>IFERROR(_xlfn.XLOOKUP(A23,feature_catalog!A:A,feature_catalog!A:A),"")</f>
        <v>xGBuildup_us</v>
      </c>
    </row>
    <row r="24" spans="1:12" x14ac:dyDescent="0.4">
      <c r="A24" t="s">
        <v>106</v>
      </c>
      <c r="B24" t="s">
        <v>107</v>
      </c>
      <c r="C24" t="s">
        <v>11</v>
      </c>
      <c r="D24" t="s">
        <v>108</v>
      </c>
      <c r="E24" t="s">
        <v>109</v>
      </c>
      <c r="F24" t="s">
        <v>110</v>
      </c>
      <c r="G24" t="b">
        <v>0</v>
      </c>
      <c r="H24" t="s">
        <v>111</v>
      </c>
      <c r="I24" t="s">
        <v>112</v>
      </c>
      <c r="J24" t="s">
        <v>106</v>
      </c>
      <c r="L24" t="str">
        <f>IFERROR(_xlfn.XLOOKUP(A24,feature_catalog!A:A,feature_catalog!A:A),"")</f>
        <v>accurateFinalThirdPasses</v>
      </c>
    </row>
    <row r="25" spans="1:12" x14ac:dyDescent="0.4">
      <c r="A25" t="s">
        <v>113</v>
      </c>
      <c r="B25" t="s">
        <v>114</v>
      </c>
      <c r="C25" t="s">
        <v>11</v>
      </c>
      <c r="D25" t="s">
        <v>115</v>
      </c>
      <c r="E25" t="s">
        <v>116</v>
      </c>
      <c r="F25" t="s">
        <v>96</v>
      </c>
      <c r="G25" t="b">
        <v>0</v>
      </c>
      <c r="H25" t="s">
        <v>117</v>
      </c>
      <c r="I25" t="s">
        <v>118</v>
      </c>
      <c r="J25" t="s">
        <v>113</v>
      </c>
      <c r="L25" t="str">
        <f>IFERROR(_xlfn.XLOOKUP(A25,feature_catalog!A:A,feature_catalog!A:A),"")</f>
        <v>expectedAssists</v>
      </c>
    </row>
    <row r="26" spans="1:12" x14ac:dyDescent="0.4">
      <c r="A26" t="s">
        <v>125</v>
      </c>
      <c r="B26" t="s">
        <v>126</v>
      </c>
      <c r="C26" t="s">
        <v>11</v>
      </c>
      <c r="D26" t="s">
        <v>127</v>
      </c>
      <c r="E26" t="s">
        <v>128</v>
      </c>
      <c r="F26" t="s">
        <v>129</v>
      </c>
      <c r="G26" t="b">
        <v>0</v>
      </c>
      <c r="H26" t="s">
        <v>130</v>
      </c>
      <c r="I26" t="s">
        <v>131</v>
      </c>
      <c r="J26" t="s">
        <v>125</v>
      </c>
      <c r="L26" t="str">
        <f>IFERROR(_xlfn.XLOOKUP(A26,feature_catalog!A:A,feature_catalog!A:A),"")</f>
        <v>keyPasses</v>
      </c>
    </row>
    <row r="27" spans="1:12" x14ac:dyDescent="0.4">
      <c r="A27" t="s">
        <v>92</v>
      </c>
      <c r="B27" t="s">
        <v>93</v>
      </c>
      <c r="C27" t="s">
        <v>11</v>
      </c>
      <c r="D27" t="s">
        <v>94</v>
      </c>
      <c r="E27" t="s">
        <v>95</v>
      </c>
      <c r="F27" t="s">
        <v>96</v>
      </c>
      <c r="G27" t="b">
        <v>0</v>
      </c>
      <c r="H27" t="s">
        <v>97</v>
      </c>
      <c r="I27" t="s">
        <v>98</v>
      </c>
      <c r="J27" t="s">
        <v>92</v>
      </c>
      <c r="L27" t="str">
        <f>IFERROR(_xlfn.XLOOKUP(A27,feature_catalog!A:A,feature_catalog!A:A),"")</f>
        <v>assists</v>
      </c>
    </row>
    <row r="28" spans="1:12" x14ac:dyDescent="0.4">
      <c r="A28" t="s">
        <v>572</v>
      </c>
      <c r="B28" t="s">
        <v>573</v>
      </c>
      <c r="C28" t="s">
        <v>486</v>
      </c>
      <c r="D28" t="s">
        <v>574</v>
      </c>
      <c r="E28" t="s">
        <v>575</v>
      </c>
      <c r="F28" t="s">
        <v>489</v>
      </c>
      <c r="G28" t="b">
        <v>0</v>
      </c>
      <c r="H28" t="s">
        <v>576</v>
      </c>
      <c r="I28" t="s">
        <v>577</v>
      </c>
      <c r="J28" t="s">
        <v>572</v>
      </c>
      <c r="L28" t="str">
        <f>IFERROR(_xlfn.XLOOKUP(A28,feature_catalog!A:A,feature_catalog!A:A),"")</f>
        <v>averageX</v>
      </c>
    </row>
    <row r="29" spans="1:12" x14ac:dyDescent="0.4">
      <c r="A29" t="s">
        <v>578</v>
      </c>
      <c r="B29" t="s">
        <v>579</v>
      </c>
      <c r="C29" t="s">
        <v>486</v>
      </c>
      <c r="D29" t="s">
        <v>580</v>
      </c>
      <c r="E29" t="s">
        <v>581</v>
      </c>
      <c r="F29" t="s">
        <v>489</v>
      </c>
      <c r="G29" t="b">
        <v>0</v>
      </c>
      <c r="H29" t="s">
        <v>582</v>
      </c>
      <c r="I29" t="s">
        <v>583</v>
      </c>
      <c r="J29" t="s">
        <v>578</v>
      </c>
      <c r="L29" t="str">
        <f>IFERROR(_xlfn.XLOOKUP(A29,feature_catalog!A:A,feature_catalog!A:A),"")</f>
        <v>averageY</v>
      </c>
    </row>
    <row r="30" spans="1:12" x14ac:dyDescent="0.4">
      <c r="A30" t="s">
        <v>484</v>
      </c>
      <c r="B30" t="s">
        <v>485</v>
      </c>
      <c r="C30" t="s">
        <v>486</v>
      </c>
      <c r="D30" t="s">
        <v>487</v>
      </c>
      <c r="E30" t="s">
        <v>488</v>
      </c>
      <c r="F30" t="s">
        <v>489</v>
      </c>
      <c r="G30" t="b">
        <v>0</v>
      </c>
      <c r="H30" t="s">
        <v>490</v>
      </c>
      <c r="I30" t="s">
        <v>491</v>
      </c>
      <c r="J30" t="s">
        <v>484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77D75-0DA4-4D83-A034-78700FEF09F3}">
  <dimension ref="A1:M30"/>
  <sheetViews>
    <sheetView topLeftCell="I1" workbookViewId="0">
      <pane ySplit="1" topLeftCell="A5" activePane="bottomLeft" state="frozen"/>
      <selection pane="bottomLeft" activeCell="M1" sqref="M1:M1048576"/>
    </sheetView>
  </sheetViews>
  <sheetFormatPr baseColWidth="10" defaultRowHeight="14.6" x14ac:dyDescent="0.4"/>
  <cols>
    <col min="1" max="1" width="25.4609375" bestFit="1" customWidth="1"/>
    <col min="2" max="2" width="16.69140625" bestFit="1" customWidth="1"/>
    <col min="3" max="3" width="4.4609375" bestFit="1" customWidth="1"/>
    <col min="4" max="4" width="234.3046875" bestFit="1" customWidth="1"/>
    <col min="5" max="5" width="148.3828125" bestFit="1" customWidth="1"/>
    <col min="6" max="6" width="20.15234375" bestFit="1" customWidth="1"/>
    <col min="7" max="7" width="7.765625" bestFit="1" customWidth="1"/>
    <col min="8" max="8" width="20.69140625" bestFit="1" customWidth="1"/>
    <col min="9" max="9" width="18.3046875" bestFit="1" customWidth="1"/>
    <col min="10" max="10" width="25.4609375" bestFit="1" customWidth="1"/>
    <col min="11" max="11" width="26.23046875" bestFit="1" customWidth="1"/>
    <col min="12" max="12" width="11" bestFit="1" customWidth="1"/>
  </cols>
  <sheetData>
    <row r="1" spans="1:13" x14ac:dyDescent="0.4">
      <c r="A1" s="8" t="s">
        <v>0</v>
      </c>
      <c r="B1" s="8" t="s">
        <v>1</v>
      </c>
      <c r="C1" s="8" t="s">
        <v>2</v>
      </c>
      <c r="D1" s="8" t="s">
        <v>3</v>
      </c>
      <c r="E1" s="8" t="s">
        <v>4</v>
      </c>
      <c r="F1" s="8" t="s">
        <v>5</v>
      </c>
      <c r="G1" s="8" t="s">
        <v>6</v>
      </c>
      <c r="H1" s="8" t="s">
        <v>7</v>
      </c>
      <c r="I1" s="8" t="s">
        <v>8</v>
      </c>
      <c r="J1" s="8" t="s">
        <v>0</v>
      </c>
      <c r="K1" s="8" t="s">
        <v>649</v>
      </c>
      <c r="L1" s="8" t="s">
        <v>645</v>
      </c>
    </row>
    <row r="2" spans="1:13" x14ac:dyDescent="0.4">
      <c r="A2" t="s">
        <v>418</v>
      </c>
      <c r="B2" t="s">
        <v>419</v>
      </c>
      <c r="C2" t="s">
        <v>79</v>
      </c>
      <c r="D2" t="s">
        <v>420</v>
      </c>
      <c r="E2" t="s">
        <v>421</v>
      </c>
      <c r="F2" t="s">
        <v>415</v>
      </c>
      <c r="G2" t="b">
        <v>0</v>
      </c>
      <c r="H2" t="s">
        <v>422</v>
      </c>
      <c r="I2" t="s">
        <v>423</v>
      </c>
      <c r="J2" t="s">
        <v>418</v>
      </c>
      <c r="K2">
        <v>1.5</v>
      </c>
      <c r="L2" s="5" t="s">
        <v>648</v>
      </c>
      <c r="M2" t="str">
        <f>IFERROR(_xlfn.XLOOKUP(B2,feature_catalog!B:B,feature_catalog!B:B),"")</f>
        <v>ground_duels_pct</v>
      </c>
    </row>
    <row r="3" spans="1:13" x14ac:dyDescent="0.4">
      <c r="A3" t="s">
        <v>431</v>
      </c>
      <c r="B3" t="s">
        <v>432</v>
      </c>
      <c r="C3" t="s">
        <v>79</v>
      </c>
      <c r="D3" t="s">
        <v>433</v>
      </c>
      <c r="E3" t="s">
        <v>434</v>
      </c>
      <c r="F3" t="s">
        <v>435</v>
      </c>
      <c r="G3" t="b">
        <v>0</v>
      </c>
      <c r="H3" t="s">
        <v>436</v>
      </c>
      <c r="I3" t="s">
        <v>437</v>
      </c>
      <c r="J3" t="s">
        <v>431</v>
      </c>
      <c r="K3">
        <f>IFERROR(VLOOKUP(J3,lateral_classique!$A:$K,11,0),"")</f>
        <v>1</v>
      </c>
      <c r="L3" s="4" t="s">
        <v>647</v>
      </c>
      <c r="M3" t="str">
        <f>IFERROR(_xlfn.XLOOKUP(B3,feature_catalog!B:B,feature_catalog!B:B),"")</f>
        <v>aerial_duels_pct</v>
      </c>
    </row>
    <row r="4" spans="1:13" x14ac:dyDescent="0.4">
      <c r="A4" t="s">
        <v>358</v>
      </c>
      <c r="B4" t="s">
        <v>359</v>
      </c>
      <c r="C4" t="s">
        <v>79</v>
      </c>
      <c r="D4" t="s">
        <v>360</v>
      </c>
      <c r="E4" t="s">
        <v>361</v>
      </c>
      <c r="F4" t="s">
        <v>349</v>
      </c>
      <c r="G4" t="b">
        <v>0</v>
      </c>
      <c r="H4" t="s">
        <v>362</v>
      </c>
      <c r="I4" t="s">
        <v>363</v>
      </c>
      <c r="J4" t="s">
        <v>358</v>
      </c>
      <c r="L4" s="5" t="s">
        <v>648</v>
      </c>
      <c r="M4" t="str">
        <f>IFERROR(_xlfn.XLOOKUP(B4,feature_catalog!B:B,feature_catalog!B:B),"")</f>
        <v>tackle_success_pct</v>
      </c>
    </row>
    <row r="5" spans="1:13" x14ac:dyDescent="0.4">
      <c r="A5" t="s">
        <v>345</v>
      </c>
      <c r="B5" t="s">
        <v>346</v>
      </c>
      <c r="C5" t="s">
        <v>11</v>
      </c>
      <c r="D5" t="s">
        <v>347</v>
      </c>
      <c r="E5" t="s">
        <v>348</v>
      </c>
      <c r="F5" t="s">
        <v>349</v>
      </c>
      <c r="G5" t="b">
        <v>0</v>
      </c>
      <c r="H5" t="s">
        <v>350</v>
      </c>
      <c r="I5" t="s">
        <v>351</v>
      </c>
      <c r="J5" t="s">
        <v>345</v>
      </c>
      <c r="L5" s="3" t="s">
        <v>646</v>
      </c>
      <c r="M5" t="str">
        <f>IFERROR(_xlfn.XLOOKUP(B5,feature_catalog!B:B,feature_catalog!B:B),"")</f>
        <v>tackles_p90</v>
      </c>
    </row>
    <row r="6" spans="1:13" x14ac:dyDescent="0.4">
      <c r="A6" t="s">
        <v>364</v>
      </c>
      <c r="B6" t="s">
        <v>365</v>
      </c>
      <c r="C6" t="s">
        <v>11</v>
      </c>
      <c r="D6" t="s">
        <v>366</v>
      </c>
      <c r="E6" t="s">
        <v>367</v>
      </c>
      <c r="F6" t="s">
        <v>349</v>
      </c>
      <c r="G6" t="b">
        <v>0</v>
      </c>
      <c r="H6" t="s">
        <v>368</v>
      </c>
      <c r="I6" t="s">
        <v>369</v>
      </c>
      <c r="J6" t="s">
        <v>364</v>
      </c>
      <c r="K6">
        <f>IFERROR(VLOOKUP(J6,lateral_classique!$A:$K,11,0),"")</f>
        <v>1.5</v>
      </c>
      <c r="L6" s="3" t="s">
        <v>646</v>
      </c>
      <c r="M6" t="str">
        <f>IFERROR(_xlfn.XLOOKUP(B6,feature_catalog!B:B,feature_catalog!B:B),"")</f>
        <v>interceptions_p90</v>
      </c>
    </row>
    <row r="7" spans="1:13" x14ac:dyDescent="0.4">
      <c r="A7" t="s">
        <v>268</v>
      </c>
      <c r="B7" t="s">
        <v>269</v>
      </c>
      <c r="C7" t="s">
        <v>11</v>
      </c>
      <c r="D7" t="s">
        <v>270</v>
      </c>
      <c r="E7" t="s">
        <v>271</v>
      </c>
      <c r="F7" t="s">
        <v>272</v>
      </c>
      <c r="G7" t="b">
        <v>1</v>
      </c>
      <c r="H7" t="s">
        <v>273</v>
      </c>
      <c r="I7" t="s">
        <v>274</v>
      </c>
      <c r="J7" t="s">
        <v>268</v>
      </c>
      <c r="K7">
        <v>1</v>
      </c>
      <c r="L7" s="5" t="s">
        <v>648</v>
      </c>
      <c r="M7" t="str">
        <f>IFERROR(_xlfn.XLOOKUP(B7,feature_catalog!B:B,feature_catalog!B:B),"")</f>
        <v>dribbled_past_p90</v>
      </c>
    </row>
    <row r="8" spans="1:13" x14ac:dyDescent="0.4">
      <c r="A8" t="s">
        <v>370</v>
      </c>
      <c r="B8" t="s">
        <v>371</v>
      </c>
      <c r="C8" t="s">
        <v>11</v>
      </c>
      <c r="D8" t="s">
        <v>372</v>
      </c>
      <c r="E8" t="s">
        <v>373</v>
      </c>
      <c r="F8" t="s">
        <v>374</v>
      </c>
      <c r="G8" t="b">
        <v>0</v>
      </c>
      <c r="H8" t="s">
        <v>375</v>
      </c>
      <c r="I8" t="s">
        <v>376</v>
      </c>
      <c r="J8" t="s">
        <v>370</v>
      </c>
      <c r="L8" s="4" t="s">
        <v>647</v>
      </c>
      <c r="M8" t="str">
        <f>IFERROR(_xlfn.XLOOKUP(B8,feature_catalog!B:B,feature_catalog!B:B),"")</f>
        <v>clearances_p90</v>
      </c>
    </row>
    <row r="9" spans="1:13" x14ac:dyDescent="0.4">
      <c r="A9" t="s">
        <v>329</v>
      </c>
      <c r="B9" t="s">
        <v>330</v>
      </c>
      <c r="C9" t="s">
        <v>11</v>
      </c>
      <c r="D9" t="s">
        <v>331</v>
      </c>
      <c r="E9" t="s">
        <v>332</v>
      </c>
      <c r="F9" t="s">
        <v>333</v>
      </c>
      <c r="G9" t="b">
        <v>1</v>
      </c>
      <c r="H9" t="s">
        <v>334</v>
      </c>
      <c r="I9" t="s">
        <v>335</v>
      </c>
      <c r="J9" t="s">
        <v>329</v>
      </c>
      <c r="L9" s="5" t="s">
        <v>648</v>
      </c>
      <c r="M9" t="str">
        <f>IFERROR(_xlfn.XLOOKUP(B9,feature_catalog!B:B,feature_catalog!B:B),"")</f>
        <v>errors_goal_p90</v>
      </c>
    </row>
    <row r="10" spans="1:13" x14ac:dyDescent="0.4">
      <c r="A10" t="s">
        <v>336</v>
      </c>
      <c r="B10" t="s">
        <v>337</v>
      </c>
      <c r="C10" t="s">
        <v>11</v>
      </c>
      <c r="D10" t="s">
        <v>338</v>
      </c>
      <c r="E10" t="s">
        <v>339</v>
      </c>
      <c r="F10" t="s">
        <v>333</v>
      </c>
      <c r="G10" t="b">
        <v>1</v>
      </c>
      <c r="H10" t="s">
        <v>340</v>
      </c>
      <c r="I10" t="s">
        <v>341</v>
      </c>
      <c r="J10" t="s">
        <v>336</v>
      </c>
      <c r="K10">
        <f>IFERROR(VLOOKUP(J10,lateral_classique!$A:$K,11,0),"")</f>
        <v>1</v>
      </c>
      <c r="L10" s="5" t="s">
        <v>648</v>
      </c>
      <c r="M10" t="str">
        <f>IFERROR(_xlfn.XLOOKUP(B10,feature_catalog!B:B,feature_catalog!B:B),"")</f>
        <v>errors_shot_p90</v>
      </c>
    </row>
    <row r="11" spans="1:13" x14ac:dyDescent="0.4">
      <c r="A11" t="s">
        <v>302</v>
      </c>
      <c r="B11" t="s">
        <v>303</v>
      </c>
      <c r="C11" t="s">
        <v>11</v>
      </c>
      <c r="D11" t="s">
        <v>304</v>
      </c>
      <c r="E11" t="s">
        <v>305</v>
      </c>
      <c r="F11" t="s">
        <v>306</v>
      </c>
      <c r="G11" t="b">
        <v>1</v>
      </c>
      <c r="H11" t="s">
        <v>307</v>
      </c>
      <c r="I11" t="s">
        <v>308</v>
      </c>
      <c r="J11" t="s">
        <v>302</v>
      </c>
      <c r="L11" s="4" t="s">
        <v>647</v>
      </c>
      <c r="M11" t="str">
        <f>IFERROR(_xlfn.XLOOKUP(B11,feature_catalog!B:B,feature_catalog!B:B),"")</f>
        <v>fouls_p90</v>
      </c>
    </row>
    <row r="12" spans="1:13" x14ac:dyDescent="0.4">
      <c r="A12" t="s">
        <v>309</v>
      </c>
      <c r="B12" t="s">
        <v>310</v>
      </c>
      <c r="C12" t="s">
        <v>11</v>
      </c>
      <c r="D12" t="s">
        <v>311</v>
      </c>
      <c r="E12" t="s">
        <v>312</v>
      </c>
      <c r="F12" t="s">
        <v>272</v>
      </c>
      <c r="G12" t="b">
        <v>1</v>
      </c>
      <c r="H12" t="s">
        <v>313</v>
      </c>
      <c r="I12" t="s">
        <v>314</v>
      </c>
      <c r="J12" t="s">
        <v>309</v>
      </c>
      <c r="L12" s="3" t="s">
        <v>646</v>
      </c>
      <c r="M12" t="str">
        <f>IFERROR(_xlfn.XLOOKUP(B12,feature_catalog!B:B,feature_catalog!B:B),"")</f>
        <v>penalty_conc_p90</v>
      </c>
    </row>
    <row r="13" spans="1:13" x14ac:dyDescent="0.4">
      <c r="A13" t="s">
        <v>159</v>
      </c>
      <c r="B13" t="s">
        <v>160</v>
      </c>
      <c r="C13" t="s">
        <v>79</v>
      </c>
      <c r="D13" t="s">
        <v>161</v>
      </c>
      <c r="E13" t="s">
        <v>162</v>
      </c>
      <c r="F13" t="s">
        <v>163</v>
      </c>
      <c r="G13" t="b">
        <v>0</v>
      </c>
      <c r="H13" t="s">
        <v>164</v>
      </c>
      <c r="I13" t="s">
        <v>165</v>
      </c>
      <c r="J13" t="s">
        <v>159</v>
      </c>
      <c r="K13">
        <f>IFERROR(VLOOKUP(J13,lateral_classique!$A:$K,11,0),"")</f>
        <v>2</v>
      </c>
      <c r="L13" s="3" t="s">
        <v>646</v>
      </c>
      <c r="M13" t="str">
        <f>IFERROR(_xlfn.XLOOKUP(B13,feature_catalog!B:B,feature_catalog!B:B),"")</f>
        <v>pass_acc_pct</v>
      </c>
    </row>
    <row r="14" spans="1:13" x14ac:dyDescent="0.4">
      <c r="A14" t="s">
        <v>238</v>
      </c>
      <c r="B14" t="s">
        <v>239</v>
      </c>
      <c r="C14" t="s">
        <v>11</v>
      </c>
      <c r="D14" t="s">
        <v>240</v>
      </c>
      <c r="E14" t="s">
        <v>241</v>
      </c>
      <c r="F14" t="s">
        <v>242</v>
      </c>
      <c r="G14" t="b">
        <v>1</v>
      </c>
      <c r="H14" t="s">
        <v>243</v>
      </c>
      <c r="I14" t="s">
        <v>244</v>
      </c>
      <c r="J14" t="s">
        <v>238</v>
      </c>
      <c r="K14">
        <v>1</v>
      </c>
      <c r="L14" s="5" t="s">
        <v>648</v>
      </c>
      <c r="M14" t="str">
        <f>IFERROR(_xlfn.XLOOKUP(B14,feature_catalog!B:B,feature_catalog!B:B),"")</f>
        <v>poss_lost_p90</v>
      </c>
    </row>
    <row r="15" spans="1:13" x14ac:dyDescent="0.4">
      <c r="A15" t="s">
        <v>232</v>
      </c>
      <c r="B15" t="s">
        <v>233</v>
      </c>
      <c r="C15" t="s">
        <v>11</v>
      </c>
      <c r="D15" t="s">
        <v>234</v>
      </c>
      <c r="E15" t="s">
        <v>235</v>
      </c>
      <c r="F15" t="s">
        <v>216</v>
      </c>
      <c r="G15" t="b">
        <v>1</v>
      </c>
      <c r="H15" t="s">
        <v>236</v>
      </c>
      <c r="I15" t="s">
        <v>237</v>
      </c>
      <c r="J15" t="s">
        <v>232</v>
      </c>
      <c r="L15" s="3" t="s">
        <v>646</v>
      </c>
      <c r="M15" t="str">
        <f>IFERROR(_xlfn.XLOOKUP(B15,feature_catalog!B:B,feature_catalog!B:B),"")</f>
        <v>dispossessed_p90</v>
      </c>
    </row>
    <row r="16" spans="1:13" x14ac:dyDescent="0.4">
      <c r="A16" t="s">
        <v>179</v>
      </c>
      <c r="B16" t="s">
        <v>180</v>
      </c>
      <c r="C16" t="s">
        <v>11</v>
      </c>
      <c r="D16" t="s">
        <v>181</v>
      </c>
      <c r="E16" t="s">
        <v>182</v>
      </c>
      <c r="F16" t="s">
        <v>183</v>
      </c>
      <c r="G16" t="b">
        <v>0</v>
      </c>
      <c r="H16" t="s">
        <v>184</v>
      </c>
      <c r="I16" t="s">
        <v>185</v>
      </c>
      <c r="J16" t="s">
        <v>179</v>
      </c>
      <c r="K16">
        <v>1</v>
      </c>
      <c r="L16" s="5" t="s">
        <v>648</v>
      </c>
      <c r="M16" t="str">
        <f>IFERROR(_xlfn.XLOOKUP(B16,feature_catalog!B:B,feature_catalog!B:B),"")</f>
        <v>crosses_p90</v>
      </c>
    </row>
    <row r="17" spans="1:13" x14ac:dyDescent="0.4">
      <c r="A17" t="s">
        <v>186</v>
      </c>
      <c r="B17" t="s">
        <v>187</v>
      </c>
      <c r="C17" t="s">
        <v>79</v>
      </c>
      <c r="D17" t="s">
        <v>188</v>
      </c>
      <c r="E17" t="s">
        <v>189</v>
      </c>
      <c r="F17" t="s">
        <v>183</v>
      </c>
      <c r="G17" t="b">
        <v>0</v>
      </c>
      <c r="H17" t="s">
        <v>190</v>
      </c>
      <c r="I17" t="s">
        <v>191</v>
      </c>
      <c r="J17" t="s">
        <v>186</v>
      </c>
      <c r="K17">
        <f>IFERROR(VLOOKUP(J17,lateral_classique!$A:$K,11,0),"")</f>
        <v>1</v>
      </c>
      <c r="L17" s="3" t="s">
        <v>646</v>
      </c>
      <c r="M17" t="str">
        <f>IFERROR(_xlfn.XLOOKUP(B17,feature_catalog!B:B,feature_catalog!B:B),"")</f>
        <v>crosses_pct</v>
      </c>
    </row>
    <row r="18" spans="1:13" x14ac:dyDescent="0.4">
      <c r="A18" t="s">
        <v>192</v>
      </c>
      <c r="B18" t="s">
        <v>193</v>
      </c>
      <c r="C18" t="s">
        <v>11</v>
      </c>
      <c r="D18" t="s">
        <v>194</v>
      </c>
      <c r="E18" t="s">
        <v>195</v>
      </c>
      <c r="F18" t="s">
        <v>196</v>
      </c>
      <c r="G18" t="b">
        <v>0</v>
      </c>
      <c r="H18" t="s">
        <v>197</v>
      </c>
      <c r="I18" t="s">
        <v>198</v>
      </c>
      <c r="J18" t="s">
        <v>192</v>
      </c>
      <c r="L18" s="3" t="s">
        <v>646</v>
      </c>
      <c r="M18" t="str">
        <f>IFERROR(_xlfn.XLOOKUP(B18,feature_catalog!B:B,feature_catalog!B:B),"")</f>
        <v>total_crosses_p90</v>
      </c>
    </row>
    <row r="19" spans="1:13" x14ac:dyDescent="0.4">
      <c r="A19" t="s">
        <v>31</v>
      </c>
      <c r="B19" t="s">
        <v>32</v>
      </c>
      <c r="C19" t="s">
        <v>11</v>
      </c>
      <c r="D19" t="s">
        <v>33</v>
      </c>
      <c r="E19" t="s">
        <v>34</v>
      </c>
      <c r="F19" t="s">
        <v>35</v>
      </c>
      <c r="G19" t="s">
        <v>15</v>
      </c>
      <c r="H19" t="s">
        <v>36</v>
      </c>
      <c r="I19" t="s">
        <v>37</v>
      </c>
      <c r="J19" t="s">
        <v>31</v>
      </c>
      <c r="K19">
        <v>2</v>
      </c>
      <c r="L19" s="5" t="s">
        <v>648</v>
      </c>
      <c r="M19" t="str">
        <f>IFERROR(_xlfn.XLOOKUP(B19,feature_catalog!B:B,feature_catalog!B:B),"")</f>
        <v>xgchain_p90</v>
      </c>
    </row>
    <row r="20" spans="1:13" x14ac:dyDescent="0.4">
      <c r="A20" t="s">
        <v>113</v>
      </c>
      <c r="B20" t="s">
        <v>114</v>
      </c>
      <c r="C20" t="s">
        <v>11</v>
      </c>
      <c r="D20" t="s">
        <v>115</v>
      </c>
      <c r="E20" t="s">
        <v>116</v>
      </c>
      <c r="F20" t="s">
        <v>96</v>
      </c>
      <c r="G20" t="b">
        <v>0</v>
      </c>
      <c r="H20" t="s">
        <v>117</v>
      </c>
      <c r="I20" t="s">
        <v>118</v>
      </c>
      <c r="J20" t="s">
        <v>113</v>
      </c>
      <c r="L20" s="5" t="s">
        <v>648</v>
      </c>
      <c r="M20" t="str">
        <f>IFERROR(_xlfn.XLOOKUP(B20,feature_catalog!B:B,feature_catalog!B:B),"")</f>
        <v>xa_p90</v>
      </c>
    </row>
    <row r="21" spans="1:13" x14ac:dyDescent="0.4">
      <c r="A21" t="s">
        <v>119</v>
      </c>
      <c r="B21" t="s">
        <v>120</v>
      </c>
      <c r="C21" t="s">
        <v>11</v>
      </c>
      <c r="D21" t="s">
        <v>121</v>
      </c>
      <c r="E21" t="s">
        <v>122</v>
      </c>
      <c r="F21" t="s">
        <v>96</v>
      </c>
      <c r="G21" t="b">
        <v>0</v>
      </c>
      <c r="H21" t="s">
        <v>123</v>
      </c>
      <c r="I21" t="s">
        <v>124</v>
      </c>
      <c r="J21" t="s">
        <v>119</v>
      </c>
      <c r="L21" s="4" t="s">
        <v>647</v>
      </c>
      <c r="M21" t="str">
        <f>IFERROR(_xlfn.XLOOKUP(B21,feature_catalog!B:B,feature_catalog!B:B),"")</f>
        <v>xa_us_p90</v>
      </c>
    </row>
    <row r="22" spans="1:13" x14ac:dyDescent="0.4">
      <c r="A22" t="s">
        <v>92</v>
      </c>
      <c r="B22" t="s">
        <v>93</v>
      </c>
      <c r="C22" t="s">
        <v>11</v>
      </c>
      <c r="D22" t="s">
        <v>94</v>
      </c>
      <c r="E22" t="s">
        <v>95</v>
      </c>
      <c r="F22" t="s">
        <v>96</v>
      </c>
      <c r="G22" t="b">
        <v>0</v>
      </c>
      <c r="H22" t="s">
        <v>97</v>
      </c>
      <c r="I22" t="s">
        <v>98</v>
      </c>
      <c r="J22" t="s">
        <v>92</v>
      </c>
      <c r="L22" s="3" t="s">
        <v>646</v>
      </c>
      <c r="M22" t="str">
        <f>IFERROR(_xlfn.XLOOKUP(B22,feature_catalog!B:B,feature_catalog!B:B),"")</f>
        <v>ast_p90</v>
      </c>
    </row>
    <row r="23" spans="1:13" x14ac:dyDescent="0.4">
      <c r="A23" t="s">
        <v>125</v>
      </c>
      <c r="B23" t="s">
        <v>126</v>
      </c>
      <c r="C23" t="s">
        <v>11</v>
      </c>
      <c r="D23" t="s">
        <v>127</v>
      </c>
      <c r="E23" t="s">
        <v>128</v>
      </c>
      <c r="F23" t="s">
        <v>129</v>
      </c>
      <c r="G23" t="b">
        <v>0</v>
      </c>
      <c r="H23" t="s">
        <v>130</v>
      </c>
      <c r="I23" t="s">
        <v>131</v>
      </c>
      <c r="J23" t="s">
        <v>125</v>
      </c>
      <c r="L23" s="3" t="s">
        <v>646</v>
      </c>
      <c r="M23" t="str">
        <f>IFERROR(_xlfn.XLOOKUP(B23,feature_catalog!B:B,feature_catalog!B:B),"")</f>
        <v>key_passes_p90</v>
      </c>
    </row>
    <row r="24" spans="1:13" x14ac:dyDescent="0.4">
      <c r="A24" t="s">
        <v>106</v>
      </c>
      <c r="B24" t="s">
        <v>107</v>
      </c>
      <c r="C24" t="s">
        <v>11</v>
      </c>
      <c r="D24" t="s">
        <v>108</v>
      </c>
      <c r="E24" t="s">
        <v>109</v>
      </c>
      <c r="F24" t="s">
        <v>110</v>
      </c>
      <c r="G24" t="b">
        <v>0</v>
      </c>
      <c r="H24" t="s">
        <v>111</v>
      </c>
      <c r="I24" t="s">
        <v>112</v>
      </c>
      <c r="J24" t="s">
        <v>106</v>
      </c>
      <c r="K24">
        <v>2</v>
      </c>
      <c r="L24" s="3" t="s">
        <v>646</v>
      </c>
      <c r="M24" t="str">
        <f>IFERROR(_xlfn.XLOOKUP(B24,feature_catalog!B:B,feature_catalog!B:B),"")</f>
        <v>passes_f3_p90</v>
      </c>
    </row>
    <row r="25" spans="1:13" x14ac:dyDescent="0.4">
      <c r="A25" t="s">
        <v>212</v>
      </c>
      <c r="B25" t="s">
        <v>213</v>
      </c>
      <c r="C25" t="s">
        <v>11</v>
      </c>
      <c r="D25" t="s">
        <v>214</v>
      </c>
      <c r="E25" t="s">
        <v>215</v>
      </c>
      <c r="F25" t="s">
        <v>216</v>
      </c>
      <c r="G25" t="b">
        <v>0</v>
      </c>
      <c r="H25" t="s">
        <v>217</v>
      </c>
      <c r="I25" t="s">
        <v>218</v>
      </c>
      <c r="J25" t="s">
        <v>212</v>
      </c>
      <c r="K25" t="str">
        <f>IFERROR(VLOOKUP(J25,lateral_classique!$A:$K,11,0),"")</f>
        <v/>
      </c>
      <c r="L25" s="3" t="s">
        <v>646</v>
      </c>
      <c r="M25" t="str">
        <f>IFERROR(_xlfn.XLOOKUP(B25,feature_catalog!B:B,feature_catalog!B:B),"")</f>
        <v>dribbles_p90</v>
      </c>
    </row>
    <row r="26" spans="1:13" x14ac:dyDescent="0.4">
      <c r="A26" t="s">
        <v>219</v>
      </c>
      <c r="B26" t="s">
        <v>220</v>
      </c>
      <c r="C26" t="s">
        <v>79</v>
      </c>
      <c r="D26" t="s">
        <v>221</v>
      </c>
      <c r="E26" t="s">
        <v>222</v>
      </c>
      <c r="F26" t="s">
        <v>223</v>
      </c>
      <c r="G26" t="b">
        <v>0</v>
      </c>
      <c r="H26" t="s">
        <v>224</v>
      </c>
      <c r="I26" t="s">
        <v>225</v>
      </c>
      <c r="J26" t="s">
        <v>219</v>
      </c>
      <c r="K26" t="str">
        <f>IFERROR(VLOOKUP(J26,lateral_classique!$A:$K,11,0),"")</f>
        <v/>
      </c>
      <c r="L26" s="4" t="s">
        <v>647</v>
      </c>
      <c r="M26" t="str">
        <f>IFERROR(_xlfn.XLOOKUP(B26,feature_catalog!B:B,feature_catalog!B:B),"")</f>
        <v>dribble_pct</v>
      </c>
    </row>
    <row r="27" spans="1:13" x14ac:dyDescent="0.4">
      <c r="A27" t="s">
        <v>199</v>
      </c>
      <c r="B27" t="s">
        <v>200</v>
      </c>
      <c r="C27" t="s">
        <v>11</v>
      </c>
      <c r="D27" t="s">
        <v>201</v>
      </c>
      <c r="E27" t="s">
        <v>202</v>
      </c>
      <c r="F27" t="s">
        <v>203</v>
      </c>
      <c r="G27" t="b">
        <v>0</v>
      </c>
      <c r="H27" t="s">
        <v>204</v>
      </c>
      <c r="I27" t="s">
        <v>205</v>
      </c>
      <c r="J27" t="s">
        <v>199</v>
      </c>
      <c r="K27" t="str">
        <f>IFERROR(VLOOKUP(J27,lateral_classique!$A:$K,11,0),"")</f>
        <v/>
      </c>
      <c r="L27" s="4" t="s">
        <v>647</v>
      </c>
      <c r="M27" t="str">
        <f>IFERROR(_xlfn.XLOOKUP(B27,feature_catalog!B:B,feature_catalog!B:B),"")</f>
        <v>touches_p90</v>
      </c>
    </row>
    <row r="28" spans="1:13" x14ac:dyDescent="0.4">
      <c r="A28" t="s">
        <v>572</v>
      </c>
      <c r="B28" t="s">
        <v>573</v>
      </c>
      <c r="C28" t="s">
        <v>486</v>
      </c>
      <c r="D28" t="s">
        <v>574</v>
      </c>
      <c r="E28" t="s">
        <v>575</v>
      </c>
      <c r="F28" t="s">
        <v>489</v>
      </c>
      <c r="G28" t="b">
        <v>0</v>
      </c>
      <c r="H28" t="s">
        <v>576</v>
      </c>
      <c r="I28" t="s">
        <v>577</v>
      </c>
      <c r="J28" t="s">
        <v>572</v>
      </c>
      <c r="L28" s="5" t="s">
        <v>648</v>
      </c>
      <c r="M28" t="str">
        <f>IFERROR(_xlfn.XLOOKUP(B28,feature_catalog!B:B,feature_catalog!B:B),"")</f>
        <v>avg_x</v>
      </c>
    </row>
    <row r="29" spans="1:13" x14ac:dyDescent="0.4">
      <c r="A29" t="s">
        <v>578</v>
      </c>
      <c r="B29" t="s">
        <v>579</v>
      </c>
      <c r="C29" t="s">
        <v>486</v>
      </c>
      <c r="D29" t="s">
        <v>580</v>
      </c>
      <c r="E29" t="s">
        <v>581</v>
      </c>
      <c r="F29" t="s">
        <v>489</v>
      </c>
      <c r="G29" t="b">
        <v>0</v>
      </c>
      <c r="H29" t="s">
        <v>582</v>
      </c>
      <c r="I29" t="s">
        <v>583</v>
      </c>
      <c r="J29" t="s">
        <v>578</v>
      </c>
      <c r="L29" s="4" t="s">
        <v>647</v>
      </c>
      <c r="M29" t="str">
        <f>IFERROR(_xlfn.XLOOKUP(B29,feature_catalog!B:B,feature_catalog!B:B),"")</f>
        <v>avg_y</v>
      </c>
    </row>
    <row r="30" spans="1:13" x14ac:dyDescent="0.4">
      <c r="A30" t="s">
        <v>484</v>
      </c>
      <c r="B30" t="s">
        <v>485</v>
      </c>
      <c r="C30" t="s">
        <v>486</v>
      </c>
      <c r="D30" t="s">
        <v>487</v>
      </c>
      <c r="E30" t="s">
        <v>488</v>
      </c>
      <c r="F30" t="s">
        <v>489</v>
      </c>
      <c r="G30" t="b">
        <v>0</v>
      </c>
      <c r="H30" t="s">
        <v>490</v>
      </c>
      <c r="I30" t="s">
        <v>491</v>
      </c>
      <c r="J30" t="s">
        <v>484</v>
      </c>
      <c r="L30" s="4" t="s">
        <v>647</v>
      </c>
      <c r="M30" t="str">
        <f>IFERROR(_xlfn.XLOOKUP(B30,feature_catalog!B:B,feature_catalog!B:B),"")</f>
        <v>ss_rating</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A7A91-94AE-4700-8BF2-D2FAF3A23179}">
  <dimension ref="A1:M31"/>
  <sheetViews>
    <sheetView topLeftCell="F1" workbookViewId="0">
      <pane ySplit="1" topLeftCell="A13" activePane="bottomLeft" state="frozen"/>
      <selection pane="bottomLeft" activeCell="M1" sqref="M1:M1048576"/>
    </sheetView>
  </sheetViews>
  <sheetFormatPr baseColWidth="10" defaultRowHeight="14.6" x14ac:dyDescent="0.4"/>
  <cols>
    <col min="1" max="1" width="25" bestFit="1" customWidth="1"/>
    <col min="2" max="2" width="18.53515625" bestFit="1" customWidth="1"/>
    <col min="3" max="3" width="4.4609375" bestFit="1" customWidth="1"/>
    <col min="4" max="4" width="234.3046875" bestFit="1" customWidth="1"/>
    <col min="5" max="5" width="148.3828125" bestFit="1" customWidth="1"/>
    <col min="6" max="6" width="20.15234375" bestFit="1" customWidth="1"/>
    <col min="7" max="7" width="7.765625" bestFit="1" customWidth="1"/>
    <col min="8" max="8" width="22.61328125" bestFit="1" customWidth="1"/>
    <col min="9" max="9" width="20.15234375" bestFit="1" customWidth="1"/>
    <col min="10" max="10" width="25" bestFit="1" customWidth="1"/>
    <col min="11" max="11" width="26.23046875" bestFit="1" customWidth="1"/>
    <col min="12" max="12" width="11" bestFit="1" customWidth="1"/>
  </cols>
  <sheetData>
    <row r="1" spans="1:13" x14ac:dyDescent="0.4">
      <c r="A1" s="8" t="s">
        <v>0</v>
      </c>
      <c r="B1" s="8" t="s">
        <v>1</v>
      </c>
      <c r="C1" s="8" t="s">
        <v>2</v>
      </c>
      <c r="D1" s="8" t="s">
        <v>3</v>
      </c>
      <c r="E1" s="8" t="s">
        <v>4</v>
      </c>
      <c r="F1" s="8" t="s">
        <v>5</v>
      </c>
      <c r="G1" s="8" t="s">
        <v>6</v>
      </c>
      <c r="H1" s="8" t="s">
        <v>7</v>
      </c>
      <c r="I1" s="8" t="s">
        <v>8</v>
      </c>
      <c r="J1" s="8" t="s">
        <v>0</v>
      </c>
      <c r="K1" s="8" t="s">
        <v>649</v>
      </c>
      <c r="L1" s="8" t="s">
        <v>645</v>
      </c>
    </row>
    <row r="2" spans="1:13" x14ac:dyDescent="0.4">
      <c r="A2" t="s">
        <v>418</v>
      </c>
      <c r="B2" t="s">
        <v>419</v>
      </c>
      <c r="C2" t="s">
        <v>79</v>
      </c>
      <c r="D2" t="s">
        <v>420</v>
      </c>
      <c r="E2" t="s">
        <v>421</v>
      </c>
      <c r="F2" t="s">
        <v>415</v>
      </c>
      <c r="G2" t="b">
        <v>0</v>
      </c>
      <c r="H2" t="s">
        <v>422</v>
      </c>
      <c r="I2" t="s">
        <v>423</v>
      </c>
      <c r="J2" t="s">
        <v>418</v>
      </c>
      <c r="K2">
        <v>2</v>
      </c>
      <c r="L2" s="5" t="s">
        <v>648</v>
      </c>
      <c r="M2" t="str">
        <f>IFERROR(_xlfn.XLOOKUP(B2,feature_catalog!B:B,feature_catalog!B:B),"")</f>
        <v>ground_duels_pct</v>
      </c>
    </row>
    <row r="3" spans="1:13" x14ac:dyDescent="0.4">
      <c r="A3" t="s">
        <v>411</v>
      </c>
      <c r="B3" t="s">
        <v>412</v>
      </c>
      <c r="C3" t="s">
        <v>11</v>
      </c>
      <c r="D3" t="s">
        <v>413</v>
      </c>
      <c r="E3" t="s">
        <v>414</v>
      </c>
      <c r="F3" t="s">
        <v>415</v>
      </c>
      <c r="G3" t="b">
        <v>0</v>
      </c>
      <c r="H3" t="s">
        <v>416</v>
      </c>
      <c r="I3" t="s">
        <v>417</v>
      </c>
      <c r="J3" t="s">
        <v>411</v>
      </c>
      <c r="K3" t="str">
        <f>IFERROR(VLOOKUP(J3,lateral_classique!$A:$K,11,0),"")</f>
        <v/>
      </c>
      <c r="L3" s="3" t="s">
        <v>646</v>
      </c>
      <c r="M3" t="str">
        <f>IFERROR(_xlfn.XLOOKUP(B3,feature_catalog!B:B,feature_catalog!B:B),"")</f>
        <v>ground_duels_p90</v>
      </c>
    </row>
    <row r="4" spans="1:13" x14ac:dyDescent="0.4">
      <c r="A4" t="s">
        <v>431</v>
      </c>
      <c r="B4" t="s">
        <v>432</v>
      </c>
      <c r="C4" t="s">
        <v>79</v>
      </c>
      <c r="D4" t="s">
        <v>433</v>
      </c>
      <c r="E4" t="s">
        <v>434</v>
      </c>
      <c r="F4" t="s">
        <v>435</v>
      </c>
      <c r="G4" t="b">
        <v>0</v>
      </c>
      <c r="H4" t="s">
        <v>436</v>
      </c>
      <c r="I4" t="s">
        <v>437</v>
      </c>
      <c r="J4" t="s">
        <v>431</v>
      </c>
      <c r="K4">
        <v>2</v>
      </c>
      <c r="L4" s="5" t="s">
        <v>648</v>
      </c>
      <c r="M4" t="str">
        <f>IFERROR(_xlfn.XLOOKUP(B4,feature_catalog!B:B,feature_catalog!B:B),"")</f>
        <v>aerial_duels_pct</v>
      </c>
    </row>
    <row r="5" spans="1:13" x14ac:dyDescent="0.4">
      <c r="A5" t="s">
        <v>424</v>
      </c>
      <c r="B5" t="s">
        <v>425</v>
      </c>
      <c r="C5" t="s">
        <v>11</v>
      </c>
      <c r="D5" t="s">
        <v>426</v>
      </c>
      <c r="E5" t="s">
        <v>427</v>
      </c>
      <c r="F5" t="s">
        <v>428</v>
      </c>
      <c r="G5" t="b">
        <v>0</v>
      </c>
      <c r="H5" t="s">
        <v>429</v>
      </c>
      <c r="I5" t="s">
        <v>430</v>
      </c>
      <c r="J5" t="s">
        <v>424</v>
      </c>
      <c r="K5" t="str">
        <f>IFERROR(VLOOKUP(J5,lateral_classique!$A:$K,11,0),"")</f>
        <v/>
      </c>
      <c r="L5" s="3" t="s">
        <v>646</v>
      </c>
      <c r="M5" t="str">
        <f>IFERROR(_xlfn.XLOOKUP(B5,feature_catalog!B:B,feature_catalog!B:B),"")</f>
        <v>aerial_duels_p90</v>
      </c>
    </row>
    <row r="6" spans="1:13" x14ac:dyDescent="0.4">
      <c r="A6" t="s">
        <v>404</v>
      </c>
      <c r="B6" t="s">
        <v>405</v>
      </c>
      <c r="C6" t="s">
        <v>79</v>
      </c>
      <c r="D6" t="s">
        <v>406</v>
      </c>
      <c r="E6" t="s">
        <v>407</v>
      </c>
      <c r="F6" t="s">
        <v>408</v>
      </c>
      <c r="G6" t="b">
        <v>0</v>
      </c>
      <c r="H6" t="s">
        <v>409</v>
      </c>
      <c r="I6" t="s">
        <v>410</v>
      </c>
      <c r="J6" t="s">
        <v>404</v>
      </c>
      <c r="K6" t="str">
        <f>IFERROR(VLOOKUP(J6,lateral_classique!$A:$K,11,0),"")</f>
        <v/>
      </c>
      <c r="L6" s="3" t="s">
        <v>646</v>
      </c>
      <c r="M6" t="str">
        <f>IFERROR(_xlfn.XLOOKUP(B6,feature_catalog!B:B,feature_catalog!B:B),"")</f>
        <v>duels_won_pct</v>
      </c>
    </row>
    <row r="7" spans="1:13" x14ac:dyDescent="0.4">
      <c r="A7" t="s">
        <v>358</v>
      </c>
      <c r="B7" t="s">
        <v>359</v>
      </c>
      <c r="C7" t="s">
        <v>79</v>
      </c>
      <c r="D7" t="s">
        <v>360</v>
      </c>
      <c r="E7" t="s">
        <v>361</v>
      </c>
      <c r="F7" t="s">
        <v>349</v>
      </c>
      <c r="G7" t="b">
        <v>0</v>
      </c>
      <c r="H7" t="s">
        <v>362</v>
      </c>
      <c r="I7" t="s">
        <v>363</v>
      </c>
      <c r="J7" t="s">
        <v>358</v>
      </c>
      <c r="L7" s="5" t="s">
        <v>648</v>
      </c>
      <c r="M7" t="str">
        <f>IFERROR(_xlfn.XLOOKUP(B7,feature_catalog!B:B,feature_catalog!B:B),"")</f>
        <v>tackle_success_pct</v>
      </c>
    </row>
    <row r="8" spans="1:13" x14ac:dyDescent="0.4">
      <c r="A8" t="s">
        <v>345</v>
      </c>
      <c r="B8" t="s">
        <v>346</v>
      </c>
      <c r="C8" t="s">
        <v>11</v>
      </c>
      <c r="D8" t="s">
        <v>347</v>
      </c>
      <c r="E8" t="s">
        <v>348</v>
      </c>
      <c r="F8" t="s">
        <v>349</v>
      </c>
      <c r="G8" t="b">
        <v>0</v>
      </c>
      <c r="H8" t="s">
        <v>350</v>
      </c>
      <c r="I8" t="s">
        <v>351</v>
      </c>
      <c r="J8" t="s">
        <v>345</v>
      </c>
      <c r="L8" s="3" t="s">
        <v>646</v>
      </c>
      <c r="M8" t="str">
        <f>IFERROR(_xlfn.XLOOKUP(B8,feature_catalog!B:B,feature_catalog!B:B),"")</f>
        <v>tackles_p90</v>
      </c>
    </row>
    <row r="9" spans="1:13" x14ac:dyDescent="0.4">
      <c r="A9" t="s">
        <v>352</v>
      </c>
      <c r="B9" t="s">
        <v>353</v>
      </c>
      <c r="C9" t="s">
        <v>11</v>
      </c>
      <c r="D9" t="s">
        <v>354</v>
      </c>
      <c r="E9" t="s">
        <v>355</v>
      </c>
      <c r="F9" t="s">
        <v>349</v>
      </c>
      <c r="G9" t="b">
        <v>0</v>
      </c>
      <c r="H9" t="s">
        <v>356</v>
      </c>
      <c r="I9" t="s">
        <v>357</v>
      </c>
      <c r="J9" t="s">
        <v>352</v>
      </c>
      <c r="L9" s="4" t="s">
        <v>647</v>
      </c>
      <c r="M9" t="str">
        <f>IFERROR(_xlfn.XLOOKUP(B9,feature_catalog!B:B,feature_catalog!B:B),"")</f>
        <v>tackles_won_p90</v>
      </c>
    </row>
    <row r="10" spans="1:13" x14ac:dyDescent="0.4">
      <c r="A10" t="s">
        <v>268</v>
      </c>
      <c r="B10" t="s">
        <v>269</v>
      </c>
      <c r="C10" t="s">
        <v>11</v>
      </c>
      <c r="D10" t="s">
        <v>270</v>
      </c>
      <c r="E10" t="s">
        <v>271</v>
      </c>
      <c r="F10" t="s">
        <v>272</v>
      </c>
      <c r="G10" t="b">
        <v>1</v>
      </c>
      <c r="H10" t="s">
        <v>273</v>
      </c>
      <c r="I10" t="s">
        <v>274</v>
      </c>
      <c r="J10" t="s">
        <v>268</v>
      </c>
      <c r="K10">
        <f>IFERROR(VLOOKUP(J10,lateral_classique!$A:$K,11,0),"")</f>
        <v>2</v>
      </c>
      <c r="L10" s="5" t="s">
        <v>648</v>
      </c>
      <c r="M10" t="str">
        <f>IFERROR(_xlfn.XLOOKUP(B10,feature_catalog!B:B,feature_catalog!B:B),"")</f>
        <v>dribbled_past_p90</v>
      </c>
    </row>
    <row r="11" spans="1:13" x14ac:dyDescent="0.4">
      <c r="A11" t="s">
        <v>364</v>
      </c>
      <c r="B11" t="s">
        <v>365</v>
      </c>
      <c r="C11" t="s">
        <v>11</v>
      </c>
      <c r="D11" t="s">
        <v>366</v>
      </c>
      <c r="E11" t="s">
        <v>367</v>
      </c>
      <c r="F11" t="s">
        <v>349</v>
      </c>
      <c r="G11" t="b">
        <v>0</v>
      </c>
      <c r="H11" t="s">
        <v>368</v>
      </c>
      <c r="I11" t="s">
        <v>369</v>
      </c>
      <c r="J11" t="s">
        <v>364</v>
      </c>
      <c r="K11">
        <v>2</v>
      </c>
      <c r="L11" s="5" t="s">
        <v>648</v>
      </c>
      <c r="M11" t="str">
        <f>IFERROR(_xlfn.XLOOKUP(B11,feature_catalog!B:B,feature_catalog!B:B),"")</f>
        <v>interceptions_p90</v>
      </c>
    </row>
    <row r="12" spans="1:13" x14ac:dyDescent="0.4">
      <c r="A12" t="s">
        <v>370</v>
      </c>
      <c r="B12" t="s">
        <v>371</v>
      </c>
      <c r="C12" t="s">
        <v>11</v>
      </c>
      <c r="D12" t="s">
        <v>372</v>
      </c>
      <c r="E12" t="s">
        <v>373</v>
      </c>
      <c r="F12" t="s">
        <v>374</v>
      </c>
      <c r="G12" t="b">
        <v>0</v>
      </c>
      <c r="H12" t="s">
        <v>375</v>
      </c>
      <c r="I12" t="s">
        <v>376</v>
      </c>
      <c r="J12" t="s">
        <v>370</v>
      </c>
      <c r="L12" s="3" t="s">
        <v>646</v>
      </c>
      <c r="M12" t="str">
        <f>IFERROR(_xlfn.XLOOKUP(B12,feature_catalog!B:B,feature_catalog!B:B),"")</f>
        <v>clearances_p90</v>
      </c>
    </row>
    <row r="13" spans="1:13" x14ac:dyDescent="0.4">
      <c r="A13" t="s">
        <v>377</v>
      </c>
      <c r="B13" t="s">
        <v>378</v>
      </c>
      <c r="C13" t="s">
        <v>11</v>
      </c>
      <c r="D13" t="s">
        <v>379</v>
      </c>
      <c r="E13" t="s">
        <v>380</v>
      </c>
      <c r="F13" t="s">
        <v>381</v>
      </c>
      <c r="G13" t="b">
        <v>0</v>
      </c>
      <c r="H13" t="s">
        <v>382</v>
      </c>
      <c r="I13" t="s">
        <v>383</v>
      </c>
      <c r="J13" t="s">
        <v>377</v>
      </c>
      <c r="L13" s="3" t="s">
        <v>646</v>
      </c>
      <c r="M13" t="str">
        <f>IFERROR(_xlfn.XLOOKUP(B13,feature_catalog!B:B,feature_catalog!B:B),"")</f>
        <v/>
      </c>
    </row>
    <row r="14" spans="1:13" x14ac:dyDescent="0.4">
      <c r="A14" t="s">
        <v>384</v>
      </c>
      <c r="B14" t="s">
        <v>385</v>
      </c>
      <c r="C14" t="s">
        <v>11</v>
      </c>
      <c r="D14" t="s">
        <v>386</v>
      </c>
      <c r="E14" t="s">
        <v>387</v>
      </c>
      <c r="F14" t="s">
        <v>388</v>
      </c>
      <c r="G14" t="b">
        <v>0</v>
      </c>
      <c r="H14" t="s">
        <v>389</v>
      </c>
      <c r="I14" t="s">
        <v>390</v>
      </c>
      <c r="J14" t="s">
        <v>384</v>
      </c>
      <c r="L14" s="4" t="s">
        <v>647</v>
      </c>
      <c r="M14" t="str">
        <f>IFERROR(_xlfn.XLOOKUP(B14,feature_catalog!B:B,feature_catalog!B:B),"")</f>
        <v>blocked_shots_p90</v>
      </c>
    </row>
    <row r="15" spans="1:13" x14ac:dyDescent="0.4">
      <c r="A15" t="s">
        <v>315</v>
      </c>
      <c r="B15" t="s">
        <v>316</v>
      </c>
      <c r="C15" t="s">
        <v>11</v>
      </c>
      <c r="D15" t="s">
        <v>317</v>
      </c>
      <c r="E15" t="s">
        <v>318</v>
      </c>
      <c r="F15" t="s">
        <v>319</v>
      </c>
      <c r="G15" t="b">
        <v>0</v>
      </c>
      <c r="H15" t="s">
        <v>320</v>
      </c>
      <c r="I15" t="s">
        <v>321</v>
      </c>
      <c r="J15" t="s">
        <v>315</v>
      </c>
      <c r="K15" t="str">
        <f>IFERROR(VLOOKUP(J15,lateral_classique!$A:$K,11,0),"")</f>
        <v/>
      </c>
      <c r="L15" s="4" t="s">
        <v>647</v>
      </c>
      <c r="M15" t="str">
        <f>IFERROR(_xlfn.XLOOKUP(B15,feature_catalog!B:B,feature_catalog!B:B),"")</f>
        <v>outfielder_blocks_p90</v>
      </c>
    </row>
    <row r="16" spans="1:13" x14ac:dyDescent="0.4">
      <c r="A16" t="s">
        <v>258</v>
      </c>
      <c r="B16" t="s">
        <v>259</v>
      </c>
      <c r="C16" t="s">
        <v>11</v>
      </c>
      <c r="D16" t="s">
        <v>260</v>
      </c>
      <c r="E16" t="s">
        <v>261</v>
      </c>
      <c r="F16" t="s">
        <v>262</v>
      </c>
      <c r="G16" t="b">
        <v>0</v>
      </c>
      <c r="H16" t="s">
        <v>263</v>
      </c>
      <c r="I16" t="s">
        <v>264</v>
      </c>
      <c r="J16" t="s">
        <v>258</v>
      </c>
      <c r="K16">
        <f>IFERROR(VLOOKUP(J16,lateral_classique!$A:$K,11,0),"")</f>
        <v>1</v>
      </c>
      <c r="L16" s="4" t="s">
        <v>647</v>
      </c>
      <c r="M16" t="str">
        <f>IFERROR(_xlfn.XLOOKUP(B16,feature_catalog!B:B,feature_catalog!B:B),"")</f>
        <v>ball_recovery_p90</v>
      </c>
    </row>
    <row r="17" spans="1:13" x14ac:dyDescent="0.4">
      <c r="A17" t="s">
        <v>329</v>
      </c>
      <c r="B17" t="s">
        <v>330</v>
      </c>
      <c r="C17" t="s">
        <v>11</v>
      </c>
      <c r="D17" t="s">
        <v>331</v>
      </c>
      <c r="E17" t="s">
        <v>332</v>
      </c>
      <c r="F17" t="s">
        <v>333</v>
      </c>
      <c r="G17" t="b">
        <v>1</v>
      </c>
      <c r="H17" t="s">
        <v>334</v>
      </c>
      <c r="I17" t="s">
        <v>335</v>
      </c>
      <c r="J17" t="s">
        <v>329</v>
      </c>
      <c r="L17" s="5" t="s">
        <v>648</v>
      </c>
      <c r="M17" t="str">
        <f>IFERROR(_xlfn.XLOOKUP(B17,feature_catalog!B:B,feature_catalog!B:B),"")</f>
        <v>errors_goal_p90</v>
      </c>
    </row>
    <row r="18" spans="1:13" x14ac:dyDescent="0.4">
      <c r="A18" t="s">
        <v>336</v>
      </c>
      <c r="B18" t="s">
        <v>337</v>
      </c>
      <c r="C18" t="s">
        <v>11</v>
      </c>
      <c r="D18" t="s">
        <v>338</v>
      </c>
      <c r="E18" t="s">
        <v>339</v>
      </c>
      <c r="F18" t="s">
        <v>333</v>
      </c>
      <c r="G18" t="b">
        <v>1</v>
      </c>
      <c r="H18" t="s">
        <v>340</v>
      </c>
      <c r="I18" t="s">
        <v>341</v>
      </c>
      <c r="J18" t="s">
        <v>336</v>
      </c>
      <c r="K18">
        <v>2</v>
      </c>
      <c r="L18" s="5" t="s">
        <v>648</v>
      </c>
      <c r="M18" t="str">
        <f>IFERROR(_xlfn.XLOOKUP(B18,feature_catalog!B:B,feature_catalog!B:B),"")</f>
        <v>errors_shot_p90</v>
      </c>
    </row>
    <row r="19" spans="1:13" x14ac:dyDescent="0.4">
      <c r="A19" t="s">
        <v>302</v>
      </c>
      <c r="B19" t="s">
        <v>303</v>
      </c>
      <c r="C19" t="s">
        <v>11</v>
      </c>
      <c r="D19" t="s">
        <v>304</v>
      </c>
      <c r="E19" t="s">
        <v>305</v>
      </c>
      <c r="F19" t="s">
        <v>306</v>
      </c>
      <c r="G19" t="b">
        <v>1</v>
      </c>
      <c r="H19" t="s">
        <v>307</v>
      </c>
      <c r="I19" t="s">
        <v>308</v>
      </c>
      <c r="J19" t="s">
        <v>302</v>
      </c>
      <c r="K19">
        <f>IFERROR(VLOOKUP(J19,lateral_classique!$A:$K,11,0),"")</f>
        <v>1</v>
      </c>
      <c r="L19" s="3" t="s">
        <v>646</v>
      </c>
      <c r="M19" t="str">
        <f>IFERROR(_xlfn.XLOOKUP(B19,feature_catalog!B:B,feature_catalog!B:B),"")</f>
        <v>fouls_p90</v>
      </c>
    </row>
    <row r="20" spans="1:13" x14ac:dyDescent="0.4">
      <c r="A20" t="s">
        <v>309</v>
      </c>
      <c r="B20" t="s">
        <v>310</v>
      </c>
      <c r="C20" t="s">
        <v>11</v>
      </c>
      <c r="D20" t="s">
        <v>311</v>
      </c>
      <c r="E20" t="s">
        <v>312</v>
      </c>
      <c r="F20" t="s">
        <v>272</v>
      </c>
      <c r="G20" t="b">
        <v>1</v>
      </c>
      <c r="H20" t="s">
        <v>313</v>
      </c>
      <c r="I20" t="s">
        <v>314</v>
      </c>
      <c r="J20" t="s">
        <v>309</v>
      </c>
      <c r="L20" s="5" t="s">
        <v>648</v>
      </c>
      <c r="M20" t="str">
        <f>IFERROR(_xlfn.XLOOKUP(B20,feature_catalog!B:B,feature_catalog!B:B),"")</f>
        <v>penalty_conc_p90</v>
      </c>
    </row>
    <row r="21" spans="1:13" x14ac:dyDescent="0.4">
      <c r="A21" t="s">
        <v>159</v>
      </c>
      <c r="B21" t="s">
        <v>160</v>
      </c>
      <c r="C21" t="s">
        <v>79</v>
      </c>
      <c r="D21" t="s">
        <v>161</v>
      </c>
      <c r="E21" t="s">
        <v>162</v>
      </c>
      <c r="F21" t="s">
        <v>163</v>
      </c>
      <c r="G21" t="b">
        <v>0</v>
      </c>
      <c r="H21" t="s">
        <v>164</v>
      </c>
      <c r="I21" t="s">
        <v>165</v>
      </c>
      <c r="J21" t="s">
        <v>159</v>
      </c>
      <c r="K21">
        <v>1</v>
      </c>
      <c r="L21" s="5" t="s">
        <v>648</v>
      </c>
      <c r="M21" t="str">
        <f>IFERROR(_xlfn.XLOOKUP(B21,feature_catalog!B:B,feature_catalog!B:B),"")</f>
        <v>pass_acc_pct</v>
      </c>
    </row>
    <row r="22" spans="1:13" x14ac:dyDescent="0.4">
      <c r="A22" t="s">
        <v>173</v>
      </c>
      <c r="B22" t="s">
        <v>174</v>
      </c>
      <c r="C22" t="s">
        <v>79</v>
      </c>
      <c r="D22" t="s">
        <v>175</v>
      </c>
      <c r="E22" t="s">
        <v>176</v>
      </c>
      <c r="F22" t="s">
        <v>170</v>
      </c>
      <c r="G22" t="b">
        <v>0</v>
      </c>
      <c r="H22" t="s">
        <v>177</v>
      </c>
      <c r="I22" t="s">
        <v>178</v>
      </c>
      <c r="J22" t="s">
        <v>173</v>
      </c>
      <c r="K22" t="str">
        <f>IFERROR(VLOOKUP(J22,lateral_classique!$A:$K,11,0),"")</f>
        <v/>
      </c>
      <c r="L22" s="3" t="s">
        <v>646</v>
      </c>
      <c r="M22" t="str">
        <f>IFERROR(_xlfn.XLOOKUP(B22,feature_catalog!B:B,feature_catalog!B:B),"")</f>
        <v>long_balls_pct</v>
      </c>
    </row>
    <row r="23" spans="1:13" x14ac:dyDescent="0.4">
      <c r="A23" t="s">
        <v>166</v>
      </c>
      <c r="B23" t="s">
        <v>167</v>
      </c>
      <c r="C23" t="s">
        <v>11</v>
      </c>
      <c r="D23" t="s">
        <v>168</v>
      </c>
      <c r="E23" t="s">
        <v>169</v>
      </c>
      <c r="F23" t="s">
        <v>170</v>
      </c>
      <c r="G23" t="b">
        <v>0</v>
      </c>
      <c r="H23" t="s">
        <v>171</v>
      </c>
      <c r="I23" t="s">
        <v>172</v>
      </c>
      <c r="J23" t="s">
        <v>166</v>
      </c>
      <c r="K23" t="str">
        <f>IFERROR(VLOOKUP(J23,lateral_classique!$A:$K,11,0),"")</f>
        <v/>
      </c>
      <c r="L23" s="4" t="s">
        <v>647</v>
      </c>
      <c r="M23" t="str">
        <f>IFERROR(_xlfn.XLOOKUP(B23,feature_catalog!B:B,feature_catalog!B:B),"")</f>
        <v>long_balls_p90</v>
      </c>
    </row>
    <row r="24" spans="1:13" x14ac:dyDescent="0.4">
      <c r="A24" t="s">
        <v>238</v>
      </c>
      <c r="B24" t="s">
        <v>239</v>
      </c>
      <c r="C24" t="s">
        <v>11</v>
      </c>
      <c r="D24" t="s">
        <v>240</v>
      </c>
      <c r="E24" t="s">
        <v>241</v>
      </c>
      <c r="F24" t="s">
        <v>242</v>
      </c>
      <c r="G24" t="b">
        <v>1</v>
      </c>
      <c r="H24" t="s">
        <v>243</v>
      </c>
      <c r="I24" t="s">
        <v>244</v>
      </c>
      <c r="J24" t="s">
        <v>238</v>
      </c>
      <c r="K24">
        <v>2</v>
      </c>
      <c r="L24" s="3" t="s">
        <v>646</v>
      </c>
      <c r="M24" t="str">
        <f>IFERROR(_xlfn.XLOOKUP(B24,feature_catalog!B:B,feature_catalog!B:B),"")</f>
        <v>poss_lost_p90</v>
      </c>
    </row>
    <row r="25" spans="1:13" x14ac:dyDescent="0.4">
      <c r="A25" t="s">
        <v>179</v>
      </c>
      <c r="B25" t="s">
        <v>180</v>
      </c>
      <c r="C25" t="s">
        <v>11</v>
      </c>
      <c r="D25" t="s">
        <v>181</v>
      </c>
      <c r="E25" t="s">
        <v>182</v>
      </c>
      <c r="F25" t="s">
        <v>183</v>
      </c>
      <c r="G25" t="b">
        <v>0</v>
      </c>
      <c r="H25" t="s">
        <v>184</v>
      </c>
      <c r="I25" t="s">
        <v>185</v>
      </c>
      <c r="J25" t="s">
        <v>179</v>
      </c>
      <c r="L25" s="4" t="s">
        <v>647</v>
      </c>
      <c r="M25" t="str">
        <f>IFERROR(_xlfn.XLOOKUP(B25,feature_catalog!B:B,feature_catalog!B:B),"")</f>
        <v>crosses_p90</v>
      </c>
    </row>
    <row r="26" spans="1:13" x14ac:dyDescent="0.4">
      <c r="A26" t="s">
        <v>38</v>
      </c>
      <c r="B26" t="s">
        <v>39</v>
      </c>
      <c r="C26" t="s">
        <v>11</v>
      </c>
      <c r="D26" t="s">
        <v>40</v>
      </c>
      <c r="E26" t="s">
        <v>41</v>
      </c>
      <c r="F26" t="s">
        <v>42</v>
      </c>
      <c r="G26" t="b">
        <v>0</v>
      </c>
      <c r="H26" t="s">
        <v>43</v>
      </c>
      <c r="I26" t="s">
        <v>44</v>
      </c>
      <c r="J26" t="s">
        <v>38</v>
      </c>
      <c r="L26" s="4" t="s">
        <v>647</v>
      </c>
      <c r="M26" t="str">
        <f>IFERROR(_xlfn.XLOOKUP(B26,feature_catalog!B:B,feature_catalog!B:B),"")</f>
        <v>xgbuildup_p90</v>
      </c>
    </row>
    <row r="27" spans="1:13" x14ac:dyDescent="0.4">
      <c r="A27" t="s">
        <v>106</v>
      </c>
      <c r="B27" t="s">
        <v>107</v>
      </c>
      <c r="C27" t="s">
        <v>11</v>
      </c>
      <c r="D27" t="s">
        <v>108</v>
      </c>
      <c r="E27" t="s">
        <v>109</v>
      </c>
      <c r="F27" t="s">
        <v>110</v>
      </c>
      <c r="G27" t="b">
        <v>0</v>
      </c>
      <c r="H27" t="s">
        <v>111</v>
      </c>
      <c r="I27" t="s">
        <v>112</v>
      </c>
      <c r="J27" t="s">
        <v>106</v>
      </c>
      <c r="L27" s="4" t="s">
        <v>647</v>
      </c>
      <c r="M27" t="str">
        <f>IFERROR(_xlfn.XLOOKUP(B27,feature_catalog!B:B,feature_catalog!B:B),"")</f>
        <v>passes_f3_p90</v>
      </c>
    </row>
    <row r="28" spans="1:13" x14ac:dyDescent="0.4">
      <c r="A28" t="s">
        <v>572</v>
      </c>
      <c r="B28" t="s">
        <v>573</v>
      </c>
      <c r="C28" t="s">
        <v>486</v>
      </c>
      <c r="D28" t="s">
        <v>574</v>
      </c>
      <c r="E28" t="s">
        <v>575</v>
      </c>
      <c r="F28" t="s">
        <v>489</v>
      </c>
      <c r="G28" t="b">
        <v>0</v>
      </c>
      <c r="H28" t="s">
        <v>576</v>
      </c>
      <c r="I28" t="s">
        <v>577</v>
      </c>
      <c r="J28" t="s">
        <v>572</v>
      </c>
      <c r="L28" s="3" t="s">
        <v>646</v>
      </c>
      <c r="M28" t="str">
        <f>IFERROR(_xlfn.XLOOKUP(B28,feature_catalog!B:B,feature_catalog!B:B),"")</f>
        <v>avg_x</v>
      </c>
    </row>
    <row r="29" spans="1:13" x14ac:dyDescent="0.4">
      <c r="A29" t="s">
        <v>578</v>
      </c>
      <c r="B29" t="s">
        <v>579</v>
      </c>
      <c r="C29" t="s">
        <v>486</v>
      </c>
      <c r="D29" t="s">
        <v>580</v>
      </c>
      <c r="E29" t="s">
        <v>581</v>
      </c>
      <c r="F29" t="s">
        <v>489</v>
      </c>
      <c r="G29" t="b">
        <v>0</v>
      </c>
      <c r="H29" t="s">
        <v>582</v>
      </c>
      <c r="I29" t="s">
        <v>583</v>
      </c>
      <c r="J29" t="s">
        <v>578</v>
      </c>
      <c r="L29" s="4" t="s">
        <v>647</v>
      </c>
      <c r="M29" t="str">
        <f>IFERROR(_xlfn.XLOOKUP(B29,feature_catalog!B:B,feature_catalog!B:B),"")</f>
        <v>avg_y</v>
      </c>
    </row>
    <row r="30" spans="1:13" x14ac:dyDescent="0.4">
      <c r="A30" t="s">
        <v>632</v>
      </c>
      <c r="B30" t="s">
        <v>633</v>
      </c>
      <c r="C30" t="s">
        <v>486</v>
      </c>
      <c r="D30" t="s">
        <v>634</v>
      </c>
      <c r="E30" t="s">
        <v>635</v>
      </c>
      <c r="F30" t="s">
        <v>636</v>
      </c>
      <c r="G30" t="b">
        <v>0</v>
      </c>
      <c r="H30" t="s">
        <v>637</v>
      </c>
      <c r="I30" t="s">
        <v>638</v>
      </c>
      <c r="J30" t="s">
        <v>632</v>
      </c>
      <c r="L30" s="4" t="s">
        <v>647</v>
      </c>
      <c r="M30" t="str">
        <f>IFERROR(_xlfn.XLOOKUP(B30,feature_catalog!B:B,feature_catalog!B:B),"")</f>
        <v>height_cm</v>
      </c>
    </row>
    <row r="31" spans="1:13" x14ac:dyDescent="0.4">
      <c r="A31" t="s">
        <v>484</v>
      </c>
      <c r="B31" t="s">
        <v>485</v>
      </c>
      <c r="C31" t="s">
        <v>486</v>
      </c>
      <c r="D31" t="s">
        <v>487</v>
      </c>
      <c r="E31" t="s">
        <v>488</v>
      </c>
      <c r="F31" t="s">
        <v>489</v>
      </c>
      <c r="G31" t="b">
        <v>0</v>
      </c>
      <c r="H31" t="s">
        <v>490</v>
      </c>
      <c r="I31" t="s">
        <v>491</v>
      </c>
      <c r="J31" t="s">
        <v>484</v>
      </c>
      <c r="L31" s="4" t="s">
        <v>647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68ED8-28CC-4F3C-8ED6-0FB5538EE1BF}">
  <dimension ref="A1:L33"/>
  <sheetViews>
    <sheetView topLeftCell="E1" workbookViewId="0">
      <pane ySplit="1" topLeftCell="A12" activePane="bottomLeft" state="frozen"/>
      <selection pane="bottomLeft" activeCell="L1" sqref="L1:L1048576"/>
    </sheetView>
  </sheetViews>
  <sheetFormatPr baseColWidth="10" defaultRowHeight="14.6" x14ac:dyDescent="0.4"/>
  <cols>
    <col min="1" max="1" width="25.4609375" bestFit="1" customWidth="1"/>
    <col min="2" max="2" width="16.69140625" bestFit="1" customWidth="1"/>
    <col min="3" max="3" width="4.4609375" bestFit="1" customWidth="1"/>
    <col min="4" max="4" width="234.3046875" bestFit="1" customWidth="1"/>
    <col min="5" max="5" width="137.61328125" bestFit="1" customWidth="1"/>
    <col min="6" max="6" width="20.15234375" bestFit="1" customWidth="1"/>
    <col min="7" max="7" width="7.765625" bestFit="1" customWidth="1"/>
    <col min="8" max="8" width="20.69140625" bestFit="1" customWidth="1"/>
    <col min="9" max="9" width="18.3046875" bestFit="1" customWidth="1"/>
    <col min="10" max="10" width="25.4609375" bestFit="1" customWidth="1"/>
    <col min="11" max="11" width="26.23046875" bestFit="1" customWidth="1"/>
  </cols>
  <sheetData>
    <row r="1" spans="1:12" x14ac:dyDescent="0.4">
      <c r="A1" s="8" t="s">
        <v>0</v>
      </c>
      <c r="B1" s="8" t="s">
        <v>1</v>
      </c>
      <c r="C1" s="8" t="s">
        <v>2</v>
      </c>
      <c r="D1" s="8" t="s">
        <v>3</v>
      </c>
      <c r="E1" s="8" t="s">
        <v>4</v>
      </c>
      <c r="F1" s="8" t="s">
        <v>5</v>
      </c>
      <c r="G1" s="8" t="s">
        <v>6</v>
      </c>
      <c r="H1" s="8" t="s">
        <v>7</v>
      </c>
      <c r="I1" s="8" t="s">
        <v>8</v>
      </c>
      <c r="J1" s="8" t="s">
        <v>0</v>
      </c>
      <c r="K1" s="8" t="s">
        <v>645</v>
      </c>
    </row>
    <row r="2" spans="1:12" x14ac:dyDescent="0.4">
      <c r="A2" t="s">
        <v>418</v>
      </c>
      <c r="B2" t="s">
        <v>419</v>
      </c>
      <c r="C2" t="s">
        <v>79</v>
      </c>
      <c r="D2" t="s">
        <v>420</v>
      </c>
      <c r="E2" t="s">
        <v>421</v>
      </c>
      <c r="F2" t="s">
        <v>415</v>
      </c>
      <c r="G2" t="b">
        <v>0</v>
      </c>
      <c r="H2" t="s">
        <v>422</v>
      </c>
      <c r="I2" t="s">
        <v>423</v>
      </c>
      <c r="J2" t="s">
        <v>418</v>
      </c>
      <c r="K2">
        <v>2</v>
      </c>
      <c r="L2" t="str">
        <f>IFERROR(_xlfn.XLOOKUP(A2,feature_catalog!A:A,feature_catalog!A:A),"")</f>
        <v>groundDuelsWonPercentage</v>
      </c>
    </row>
    <row r="3" spans="1:12" x14ac:dyDescent="0.4">
      <c r="A3" t="s">
        <v>358</v>
      </c>
      <c r="B3" t="s">
        <v>359</v>
      </c>
      <c r="C3" t="s">
        <v>79</v>
      </c>
      <c r="D3" t="s">
        <v>360</v>
      </c>
      <c r="E3" t="s">
        <v>361</v>
      </c>
      <c r="F3" t="s">
        <v>349</v>
      </c>
      <c r="G3" t="b">
        <v>0</v>
      </c>
      <c r="H3" t="s">
        <v>362</v>
      </c>
      <c r="I3" t="s">
        <v>363</v>
      </c>
      <c r="J3" t="s">
        <v>358</v>
      </c>
      <c r="L3" t="str">
        <f>IFERROR(_xlfn.XLOOKUP(A3,feature_catalog!A:A,feature_catalog!A:A),"")</f>
        <v>_tackle_success_pct</v>
      </c>
    </row>
    <row r="4" spans="1:12" x14ac:dyDescent="0.4">
      <c r="A4" t="s">
        <v>364</v>
      </c>
      <c r="B4" t="s">
        <v>365</v>
      </c>
      <c r="C4" t="s">
        <v>11</v>
      </c>
      <c r="D4" t="s">
        <v>366</v>
      </c>
      <c r="E4" t="s">
        <v>367</v>
      </c>
      <c r="F4" t="s">
        <v>349</v>
      </c>
      <c r="G4" t="b">
        <v>0</v>
      </c>
      <c r="H4" t="s">
        <v>368</v>
      </c>
      <c r="I4" t="s">
        <v>369</v>
      </c>
      <c r="J4" t="s">
        <v>364</v>
      </c>
      <c r="K4">
        <f>IFERROR(VLOOKUP(J4,lateral_classique!$A:$K,11,0),"")</f>
        <v>1.5</v>
      </c>
      <c r="L4" t="str">
        <f>IFERROR(_xlfn.XLOOKUP(A4,feature_catalog!A:A,feature_catalog!A:A),"")</f>
        <v>interceptions</v>
      </c>
    </row>
    <row r="5" spans="1:12" x14ac:dyDescent="0.4">
      <c r="A5" t="s">
        <v>268</v>
      </c>
      <c r="B5" t="s">
        <v>269</v>
      </c>
      <c r="C5" t="s">
        <v>11</v>
      </c>
      <c r="D5" t="s">
        <v>270</v>
      </c>
      <c r="E5" t="s">
        <v>271</v>
      </c>
      <c r="F5" t="s">
        <v>272</v>
      </c>
      <c r="G5" t="b">
        <v>1</v>
      </c>
      <c r="H5" t="s">
        <v>273</v>
      </c>
      <c r="I5" t="s">
        <v>274</v>
      </c>
      <c r="J5" t="s">
        <v>268</v>
      </c>
      <c r="K5">
        <f>IFERROR(VLOOKUP(J5,lateral_classique!$A:$K,11,0),"")</f>
        <v>2</v>
      </c>
      <c r="L5" t="str">
        <f>IFERROR(_xlfn.XLOOKUP(A5,feature_catalog!A:A,feature_catalog!A:A),"")</f>
        <v>dribbledPast</v>
      </c>
    </row>
    <row r="6" spans="1:12" x14ac:dyDescent="0.4">
      <c r="A6" t="s">
        <v>329</v>
      </c>
      <c r="B6" t="s">
        <v>330</v>
      </c>
      <c r="C6" t="s">
        <v>11</v>
      </c>
      <c r="D6" t="s">
        <v>331</v>
      </c>
      <c r="E6" t="s">
        <v>332</v>
      </c>
      <c r="F6" t="s">
        <v>333</v>
      </c>
      <c r="G6" t="b">
        <v>1</v>
      </c>
      <c r="H6" t="s">
        <v>334</v>
      </c>
      <c r="I6" t="s">
        <v>335</v>
      </c>
      <c r="J6" t="s">
        <v>329</v>
      </c>
      <c r="L6" t="str">
        <f>IFERROR(_xlfn.XLOOKUP(A6,feature_catalog!A:A,feature_catalog!A:A),"")</f>
        <v>errorLeadToGoal</v>
      </c>
    </row>
    <row r="7" spans="1:12" x14ac:dyDescent="0.4">
      <c r="A7" t="s">
        <v>336</v>
      </c>
      <c r="B7" t="s">
        <v>337</v>
      </c>
      <c r="C7" t="s">
        <v>11</v>
      </c>
      <c r="D7" t="s">
        <v>338</v>
      </c>
      <c r="E7" t="s">
        <v>339</v>
      </c>
      <c r="F7" t="s">
        <v>333</v>
      </c>
      <c r="G7" t="b">
        <v>1</v>
      </c>
      <c r="H7" t="s">
        <v>340</v>
      </c>
      <c r="I7" t="s">
        <v>341</v>
      </c>
      <c r="J7" t="s">
        <v>336</v>
      </c>
      <c r="K7">
        <f>IFERROR(VLOOKUP(J7,lateral_classique!$A:$K,11,0),"")</f>
        <v>1</v>
      </c>
      <c r="L7" t="str">
        <f>IFERROR(_xlfn.XLOOKUP(A7,feature_catalog!A:A,feature_catalog!A:A),"")</f>
        <v>errorLeadToShot</v>
      </c>
    </row>
    <row r="8" spans="1:12" x14ac:dyDescent="0.4">
      <c r="A8" t="s">
        <v>309</v>
      </c>
      <c r="B8" t="s">
        <v>310</v>
      </c>
      <c r="C8" t="s">
        <v>11</v>
      </c>
      <c r="D8" t="s">
        <v>311</v>
      </c>
      <c r="E8" t="s">
        <v>312</v>
      </c>
      <c r="F8" t="s">
        <v>272</v>
      </c>
      <c r="G8" t="b">
        <v>1</v>
      </c>
      <c r="H8" t="s">
        <v>313</v>
      </c>
      <c r="I8" t="s">
        <v>314</v>
      </c>
      <c r="J8" t="s">
        <v>309</v>
      </c>
      <c r="L8" t="str">
        <f>IFERROR(_xlfn.XLOOKUP(A8,feature_catalog!A:A,feature_catalog!A:A),"")</f>
        <v>penaltyConceded</v>
      </c>
    </row>
    <row r="9" spans="1:12" x14ac:dyDescent="0.4">
      <c r="A9" t="s">
        <v>302</v>
      </c>
      <c r="B9" t="s">
        <v>303</v>
      </c>
      <c r="C9" t="s">
        <v>11</v>
      </c>
      <c r="D9" t="s">
        <v>304</v>
      </c>
      <c r="E9" t="s">
        <v>305</v>
      </c>
      <c r="F9" t="s">
        <v>306</v>
      </c>
      <c r="G9" t="b">
        <v>1</v>
      </c>
      <c r="H9" t="s">
        <v>307</v>
      </c>
      <c r="I9" t="s">
        <v>308</v>
      </c>
      <c r="J9" t="s">
        <v>302</v>
      </c>
      <c r="K9">
        <f>IFERROR(VLOOKUP(J9,lateral_classique!$A:$K,11,0),"")</f>
        <v>1</v>
      </c>
      <c r="L9" t="str">
        <f>IFERROR(_xlfn.XLOOKUP(A9,feature_catalog!A:A,feature_catalog!A:A),"")</f>
        <v>fouls</v>
      </c>
    </row>
    <row r="10" spans="1:12" x14ac:dyDescent="0.4">
      <c r="A10" t="s">
        <v>159</v>
      </c>
      <c r="B10" t="s">
        <v>160</v>
      </c>
      <c r="C10" t="s">
        <v>79</v>
      </c>
      <c r="D10" t="s">
        <v>161</v>
      </c>
      <c r="E10" t="s">
        <v>162</v>
      </c>
      <c r="F10" t="s">
        <v>163</v>
      </c>
      <c r="G10" t="b">
        <v>0</v>
      </c>
      <c r="H10" t="s">
        <v>164</v>
      </c>
      <c r="I10" t="s">
        <v>165</v>
      </c>
      <c r="J10" t="s">
        <v>159</v>
      </c>
      <c r="K10">
        <v>2.5</v>
      </c>
      <c r="L10" t="str">
        <f>IFERROR(_xlfn.XLOOKUP(A10,feature_catalog!A:A,feature_catalog!A:A),"")</f>
        <v>accuratePassesPercentage</v>
      </c>
    </row>
    <row r="11" spans="1:12" x14ac:dyDescent="0.4">
      <c r="A11" t="s">
        <v>153</v>
      </c>
      <c r="B11" t="s">
        <v>154</v>
      </c>
      <c r="C11" t="s">
        <v>11</v>
      </c>
      <c r="D11" t="s">
        <v>155</v>
      </c>
      <c r="E11" t="s">
        <v>156</v>
      </c>
      <c r="F11" t="s">
        <v>110</v>
      </c>
      <c r="G11" t="b">
        <v>0</v>
      </c>
      <c r="H11" t="s">
        <v>157</v>
      </c>
      <c r="I11" t="s">
        <v>158</v>
      </c>
      <c r="J11" t="s">
        <v>153</v>
      </c>
      <c r="K11" t="str">
        <f>IFERROR(VLOOKUP(J11,lateral_classique!$A:$K,11,0),"")</f>
        <v/>
      </c>
      <c r="L11" t="str">
        <f>IFERROR(_xlfn.XLOOKUP(A11,feature_catalog!A:A,feature_catalog!A:A),"")</f>
        <v>accuratePasses</v>
      </c>
    </row>
    <row r="12" spans="1:12" x14ac:dyDescent="0.4">
      <c r="A12" t="s">
        <v>173</v>
      </c>
      <c r="B12" t="s">
        <v>174</v>
      </c>
      <c r="C12" t="s">
        <v>79</v>
      </c>
      <c r="D12" t="s">
        <v>175</v>
      </c>
      <c r="E12" t="s">
        <v>176</v>
      </c>
      <c r="F12" t="s">
        <v>170</v>
      </c>
      <c r="G12" t="b">
        <v>0</v>
      </c>
      <c r="H12" t="s">
        <v>177</v>
      </c>
      <c r="I12" t="s">
        <v>178</v>
      </c>
      <c r="J12" t="s">
        <v>173</v>
      </c>
      <c r="K12">
        <v>1.5</v>
      </c>
      <c r="L12" t="str">
        <f>IFERROR(_xlfn.XLOOKUP(A12,feature_catalog!A:A,feature_catalog!A:A),"")</f>
        <v>accurateLongBallsPercentage</v>
      </c>
    </row>
    <row r="13" spans="1:12" x14ac:dyDescent="0.4">
      <c r="A13" t="s">
        <v>166</v>
      </c>
      <c r="B13" t="s">
        <v>167</v>
      </c>
      <c r="C13" t="s">
        <v>11</v>
      </c>
      <c r="D13" t="s">
        <v>168</v>
      </c>
      <c r="E13" t="s">
        <v>169</v>
      </c>
      <c r="F13" t="s">
        <v>170</v>
      </c>
      <c r="G13" t="b">
        <v>0</v>
      </c>
      <c r="H13" t="s">
        <v>171</v>
      </c>
      <c r="I13" t="s">
        <v>172</v>
      </c>
      <c r="J13" t="s">
        <v>166</v>
      </c>
      <c r="L13" t="str">
        <f>IFERROR(_xlfn.XLOOKUP(A13,feature_catalog!A:A,feature_catalog!A:A),"")</f>
        <v>accurateLongBalls</v>
      </c>
    </row>
    <row r="14" spans="1:12" x14ac:dyDescent="0.4">
      <c r="A14" t="s">
        <v>106</v>
      </c>
      <c r="B14" t="s">
        <v>107</v>
      </c>
      <c r="C14" t="s">
        <v>11</v>
      </c>
      <c r="D14" t="s">
        <v>108</v>
      </c>
      <c r="E14" t="s">
        <v>109</v>
      </c>
      <c r="F14" t="s">
        <v>110</v>
      </c>
      <c r="G14" t="b">
        <v>0</v>
      </c>
      <c r="H14" t="s">
        <v>111</v>
      </c>
      <c r="I14" t="s">
        <v>112</v>
      </c>
      <c r="J14" t="s">
        <v>106</v>
      </c>
      <c r="K14">
        <v>1</v>
      </c>
      <c r="L14" t="str">
        <f>IFERROR(_xlfn.XLOOKUP(A14,feature_catalog!A:A,feature_catalog!A:A),"")</f>
        <v>accurateFinalThirdPasses</v>
      </c>
    </row>
    <row r="15" spans="1:12" x14ac:dyDescent="0.4">
      <c r="A15" t="s">
        <v>147</v>
      </c>
      <c r="B15" t="s">
        <v>148</v>
      </c>
      <c r="C15" t="s">
        <v>11</v>
      </c>
      <c r="D15" t="s">
        <v>149</v>
      </c>
      <c r="E15" t="s">
        <v>150</v>
      </c>
      <c r="F15" t="s">
        <v>136</v>
      </c>
      <c r="G15" t="b">
        <v>0</v>
      </c>
      <c r="H15" t="s">
        <v>151</v>
      </c>
      <c r="I15" t="s">
        <v>152</v>
      </c>
      <c r="J15" t="s">
        <v>147</v>
      </c>
      <c r="L15" t="str">
        <f>IFERROR(_xlfn.XLOOKUP(A15,feature_catalog!A:A,feature_catalog!A:A),"")</f>
        <v/>
      </c>
    </row>
    <row r="16" spans="1:12" x14ac:dyDescent="0.4">
      <c r="A16" t="s">
        <v>139</v>
      </c>
      <c r="B16" t="s">
        <v>140</v>
      </c>
      <c r="C16" t="s">
        <v>11</v>
      </c>
      <c r="D16" t="s">
        <v>141</v>
      </c>
      <c r="E16" t="s">
        <v>142</v>
      </c>
      <c r="F16" t="s">
        <v>143</v>
      </c>
      <c r="G16" t="b">
        <v>0</v>
      </c>
      <c r="H16" t="s">
        <v>144</v>
      </c>
      <c r="I16" t="s">
        <v>145</v>
      </c>
      <c r="J16" t="s">
        <v>139</v>
      </c>
      <c r="L16" t="str">
        <f>IFERROR(_xlfn.XLOOKUP(A16,feature_catalog!A:A,feature_catalog!A:A),"")</f>
        <v/>
      </c>
    </row>
    <row r="17" spans="1:12" x14ac:dyDescent="0.4">
      <c r="A17" t="s">
        <v>125</v>
      </c>
      <c r="B17" t="s">
        <v>126</v>
      </c>
      <c r="C17" t="s">
        <v>11</v>
      </c>
      <c r="D17" t="s">
        <v>127</v>
      </c>
      <c r="E17" t="s">
        <v>128</v>
      </c>
      <c r="F17" t="s">
        <v>129</v>
      </c>
      <c r="G17" t="b">
        <v>0</v>
      </c>
      <c r="H17" t="s">
        <v>130</v>
      </c>
      <c r="I17" t="s">
        <v>131</v>
      </c>
      <c r="J17" t="s">
        <v>125</v>
      </c>
      <c r="L17" t="str">
        <f>IFERROR(_xlfn.XLOOKUP(A17,feature_catalog!A:A,feature_catalog!A:A),"")</f>
        <v>keyPasses</v>
      </c>
    </row>
    <row r="18" spans="1:12" x14ac:dyDescent="0.4">
      <c r="A18" t="s">
        <v>113</v>
      </c>
      <c r="B18" t="s">
        <v>114</v>
      </c>
      <c r="C18" t="s">
        <v>11</v>
      </c>
      <c r="D18" t="s">
        <v>115</v>
      </c>
      <c r="E18" t="s">
        <v>116</v>
      </c>
      <c r="F18" t="s">
        <v>96</v>
      </c>
      <c r="G18" t="b">
        <v>0</v>
      </c>
      <c r="H18" t="s">
        <v>117</v>
      </c>
      <c r="I18" t="s">
        <v>118</v>
      </c>
      <c r="J18" t="s">
        <v>113</v>
      </c>
      <c r="L18" t="str">
        <f>IFERROR(_xlfn.XLOOKUP(A18,feature_catalog!A:A,feature_catalog!A:A),"")</f>
        <v>expectedAssists</v>
      </c>
    </row>
    <row r="19" spans="1:12" x14ac:dyDescent="0.4">
      <c r="A19" t="s">
        <v>119</v>
      </c>
      <c r="B19" t="s">
        <v>120</v>
      </c>
      <c r="C19" t="s">
        <v>11</v>
      </c>
      <c r="D19" t="s">
        <v>121</v>
      </c>
      <c r="E19" t="s">
        <v>122</v>
      </c>
      <c r="F19" t="s">
        <v>96</v>
      </c>
      <c r="G19" t="b">
        <v>0</v>
      </c>
      <c r="H19" t="s">
        <v>123</v>
      </c>
      <c r="I19" t="s">
        <v>124</v>
      </c>
      <c r="J19" t="s">
        <v>119</v>
      </c>
      <c r="L19" t="str">
        <f>IFERROR(_xlfn.XLOOKUP(A19,feature_catalog!A:A,feature_catalog!A:A),"")</f>
        <v>xA_us</v>
      </c>
    </row>
    <row r="20" spans="1:12" x14ac:dyDescent="0.4">
      <c r="A20" t="s">
        <v>31</v>
      </c>
      <c r="B20" t="s">
        <v>32</v>
      </c>
      <c r="C20" t="s">
        <v>11</v>
      </c>
      <c r="D20" t="s">
        <v>33</v>
      </c>
      <c r="E20" t="s">
        <v>34</v>
      </c>
      <c r="F20" t="s">
        <v>35</v>
      </c>
      <c r="G20" t="s">
        <v>15</v>
      </c>
      <c r="H20" t="s">
        <v>36</v>
      </c>
      <c r="I20" t="s">
        <v>37</v>
      </c>
      <c r="J20" t="s">
        <v>31</v>
      </c>
      <c r="K20">
        <v>2</v>
      </c>
      <c r="L20" t="str">
        <f>IFERROR(_xlfn.XLOOKUP(A20,feature_catalog!A:A,feature_catalog!A:A),"")</f>
        <v>xGChain_us</v>
      </c>
    </row>
    <row r="21" spans="1:12" x14ac:dyDescent="0.4">
      <c r="A21" t="s">
        <v>92</v>
      </c>
      <c r="B21" t="s">
        <v>93</v>
      </c>
      <c r="C21" t="s">
        <v>11</v>
      </c>
      <c r="D21" t="s">
        <v>94</v>
      </c>
      <c r="E21" t="s">
        <v>95</v>
      </c>
      <c r="F21" t="s">
        <v>96</v>
      </c>
      <c r="G21" t="b">
        <v>0</v>
      </c>
      <c r="H21" t="s">
        <v>97</v>
      </c>
      <c r="I21" t="s">
        <v>98</v>
      </c>
      <c r="J21" t="s">
        <v>92</v>
      </c>
      <c r="L21" t="str">
        <f>IFERROR(_xlfn.XLOOKUP(A21,feature_catalog!A:A,feature_catalog!A:A),"")</f>
        <v>assists</v>
      </c>
    </row>
    <row r="22" spans="1:12" x14ac:dyDescent="0.4">
      <c r="A22" t="s">
        <v>287</v>
      </c>
      <c r="B22" t="s">
        <v>288</v>
      </c>
      <c r="C22" t="s">
        <v>11</v>
      </c>
      <c r="D22" t="s">
        <v>289</v>
      </c>
      <c r="E22" t="s">
        <v>290</v>
      </c>
      <c r="F22" t="s">
        <v>291</v>
      </c>
      <c r="G22" t="b">
        <v>0</v>
      </c>
      <c r="H22" t="s">
        <v>292</v>
      </c>
      <c r="I22" t="s">
        <v>293</v>
      </c>
      <c r="J22" t="s">
        <v>287</v>
      </c>
      <c r="K22" t="str">
        <f>IFERROR(VLOOKUP(J22,lateral_classique!$A:$K,11,0),"")</f>
        <v/>
      </c>
      <c r="L22" t="str">
        <f>IFERROR(_xlfn.XLOOKUP(A22,feature_catalog!A:A,feature_catalog!A:A),"")</f>
        <v>progressiveCarries</v>
      </c>
    </row>
    <row r="23" spans="1:12" x14ac:dyDescent="0.4">
      <c r="A23" t="s">
        <v>212</v>
      </c>
      <c r="B23" t="s">
        <v>213</v>
      </c>
      <c r="C23" t="s">
        <v>11</v>
      </c>
      <c r="D23" t="s">
        <v>214</v>
      </c>
      <c r="E23" t="s">
        <v>215</v>
      </c>
      <c r="F23" t="s">
        <v>216</v>
      </c>
      <c r="G23" t="b">
        <v>0</v>
      </c>
      <c r="H23" t="s">
        <v>217</v>
      </c>
      <c r="I23" t="s">
        <v>218</v>
      </c>
      <c r="J23" t="s">
        <v>212</v>
      </c>
      <c r="K23" t="str">
        <f>IFERROR(VLOOKUP(J23,lateral_classique!$A:$K,11,0),"")</f>
        <v/>
      </c>
      <c r="L23" t="str">
        <f>IFERROR(_xlfn.XLOOKUP(A23,feature_catalog!A:A,feature_catalog!A:A),"")</f>
        <v>successfulDribbles</v>
      </c>
    </row>
    <row r="24" spans="1:12" x14ac:dyDescent="0.4">
      <c r="A24" t="s">
        <v>219</v>
      </c>
      <c r="B24" t="s">
        <v>220</v>
      </c>
      <c r="C24" t="s">
        <v>79</v>
      </c>
      <c r="D24" t="s">
        <v>221</v>
      </c>
      <c r="E24" t="s">
        <v>222</v>
      </c>
      <c r="F24" t="s">
        <v>223</v>
      </c>
      <c r="G24" t="b">
        <v>0</v>
      </c>
      <c r="H24" t="s">
        <v>224</v>
      </c>
      <c r="I24" t="s">
        <v>225</v>
      </c>
      <c r="J24" t="s">
        <v>219</v>
      </c>
      <c r="K24" t="str">
        <f>IFERROR(VLOOKUP(J24,lateral_classique!$A:$K,11,0),"")</f>
        <v/>
      </c>
      <c r="L24" t="str">
        <f>IFERROR(_xlfn.XLOOKUP(A24,feature_catalog!A:A,feature_catalog!A:A),"")</f>
        <v>successfulDribblesPercentage</v>
      </c>
    </row>
    <row r="25" spans="1:12" x14ac:dyDescent="0.4">
      <c r="A25" t="s">
        <v>238</v>
      </c>
      <c r="B25" t="s">
        <v>239</v>
      </c>
      <c r="C25" t="s">
        <v>11</v>
      </c>
      <c r="D25" t="s">
        <v>240</v>
      </c>
      <c r="E25" t="s">
        <v>241</v>
      </c>
      <c r="F25" t="s">
        <v>242</v>
      </c>
      <c r="G25" t="b">
        <v>1</v>
      </c>
      <c r="H25" t="s">
        <v>243</v>
      </c>
      <c r="I25" t="s">
        <v>244</v>
      </c>
      <c r="J25" t="s">
        <v>238</v>
      </c>
      <c r="K25">
        <v>2</v>
      </c>
      <c r="L25" t="str">
        <f>IFERROR(_xlfn.XLOOKUP(A25,feature_catalog!A:A,feature_catalog!A:A),"")</f>
        <v>possessionLost</v>
      </c>
    </row>
    <row r="26" spans="1:12" x14ac:dyDescent="0.4">
      <c r="A26" t="s">
        <v>232</v>
      </c>
      <c r="B26" t="s">
        <v>233</v>
      </c>
      <c r="C26" t="s">
        <v>11</v>
      </c>
      <c r="D26" t="s">
        <v>234</v>
      </c>
      <c r="E26" t="s">
        <v>235</v>
      </c>
      <c r="F26" t="s">
        <v>216</v>
      </c>
      <c r="G26" t="b">
        <v>1</v>
      </c>
      <c r="H26" t="s">
        <v>236</v>
      </c>
      <c r="I26" t="s">
        <v>237</v>
      </c>
      <c r="J26" t="s">
        <v>232</v>
      </c>
      <c r="L26" t="str">
        <f>IFERROR(_xlfn.XLOOKUP(A26,feature_catalog!A:A,feature_catalog!A:A),"")</f>
        <v>dispossessed</v>
      </c>
    </row>
    <row r="27" spans="1:12" x14ac:dyDescent="0.4">
      <c r="A27" t="s">
        <v>199</v>
      </c>
      <c r="B27" t="s">
        <v>200</v>
      </c>
      <c r="C27" t="s">
        <v>11</v>
      </c>
      <c r="D27" t="s">
        <v>201</v>
      </c>
      <c r="E27" t="s">
        <v>202</v>
      </c>
      <c r="F27" t="s">
        <v>203</v>
      </c>
      <c r="G27" t="b">
        <v>0</v>
      </c>
      <c r="H27" t="s">
        <v>204</v>
      </c>
      <c r="I27" t="s">
        <v>205</v>
      </c>
      <c r="J27" t="s">
        <v>199</v>
      </c>
      <c r="K27" t="str">
        <f>IFERROR(VLOOKUP(J27,lateral_classique!$A:$K,11,0),"")</f>
        <v/>
      </c>
      <c r="L27" t="str">
        <f>IFERROR(_xlfn.XLOOKUP(A27,feature_catalog!A:A,feature_catalog!A:A),"")</f>
        <v>touches</v>
      </c>
    </row>
    <row r="28" spans="1:12" x14ac:dyDescent="0.4">
      <c r="A28" t="s">
        <v>132</v>
      </c>
      <c r="B28" t="s">
        <v>133</v>
      </c>
      <c r="C28" t="s">
        <v>11</v>
      </c>
      <c r="D28" t="s">
        <v>134</v>
      </c>
      <c r="E28" t="s">
        <v>135</v>
      </c>
      <c r="F28" t="s">
        <v>136</v>
      </c>
      <c r="G28" t="b">
        <v>0</v>
      </c>
      <c r="H28" t="s">
        <v>137</v>
      </c>
      <c r="I28" t="s">
        <v>138</v>
      </c>
      <c r="J28" t="s">
        <v>132</v>
      </c>
      <c r="K28" t="str">
        <f>IFERROR(VLOOKUP(J28,lateral_classique!$A:$K,11,0),"")</f>
        <v/>
      </c>
      <c r="L28" t="str">
        <f>IFERROR(_xlfn.XLOOKUP(A28,feature_catalog!A:A,feature_catalog!A:A),"")</f>
        <v>bigChancesCreated</v>
      </c>
    </row>
    <row r="29" spans="1:12" x14ac:dyDescent="0.4">
      <c r="A29" t="s">
        <v>179</v>
      </c>
      <c r="B29" t="s">
        <v>180</v>
      </c>
      <c r="C29" t="s">
        <v>11</v>
      </c>
      <c r="D29" t="s">
        <v>181</v>
      </c>
      <c r="E29" t="s">
        <v>182</v>
      </c>
      <c r="F29" t="s">
        <v>183</v>
      </c>
      <c r="G29" t="b">
        <v>0</v>
      </c>
      <c r="H29" t="s">
        <v>184</v>
      </c>
      <c r="I29" t="s">
        <v>185</v>
      </c>
      <c r="J29" t="s">
        <v>179</v>
      </c>
      <c r="L29" t="str">
        <f>IFERROR(_xlfn.XLOOKUP(A29,feature_catalog!A:A,feature_catalog!A:A),"")</f>
        <v>accurateCrosses</v>
      </c>
    </row>
    <row r="30" spans="1:12" x14ac:dyDescent="0.4">
      <c r="A30" t="s">
        <v>186</v>
      </c>
      <c r="B30" t="s">
        <v>187</v>
      </c>
      <c r="C30" t="s">
        <v>79</v>
      </c>
      <c r="D30" t="s">
        <v>188</v>
      </c>
      <c r="E30" t="s">
        <v>189</v>
      </c>
      <c r="F30" t="s">
        <v>183</v>
      </c>
      <c r="G30" t="b">
        <v>0</v>
      </c>
      <c r="H30" t="s">
        <v>190</v>
      </c>
      <c r="I30" t="s">
        <v>191</v>
      </c>
      <c r="J30" t="s">
        <v>186</v>
      </c>
      <c r="L30" t="str">
        <f>IFERROR(_xlfn.XLOOKUP(A30,feature_catalog!A:A,feature_catalog!A:A),"")</f>
        <v>accurateCrossesPercentage</v>
      </c>
    </row>
    <row r="31" spans="1:12" x14ac:dyDescent="0.4">
      <c r="A31" t="s">
        <v>572</v>
      </c>
      <c r="B31" t="s">
        <v>573</v>
      </c>
      <c r="C31" t="s">
        <v>486</v>
      </c>
      <c r="D31" t="s">
        <v>574</v>
      </c>
      <c r="E31" t="s">
        <v>575</v>
      </c>
      <c r="F31" t="s">
        <v>489</v>
      </c>
      <c r="G31" t="b">
        <v>0</v>
      </c>
      <c r="H31" t="s">
        <v>576</v>
      </c>
      <c r="I31" t="s">
        <v>577</v>
      </c>
      <c r="J31" t="s">
        <v>572</v>
      </c>
    </row>
    <row r="32" spans="1:12" x14ac:dyDescent="0.4">
      <c r="A32" t="s">
        <v>578</v>
      </c>
      <c r="B32" t="s">
        <v>579</v>
      </c>
      <c r="C32" t="s">
        <v>486</v>
      </c>
      <c r="D32" t="s">
        <v>580</v>
      </c>
      <c r="E32" t="s">
        <v>581</v>
      </c>
      <c r="F32" t="s">
        <v>489</v>
      </c>
      <c r="G32" t="b">
        <v>0</v>
      </c>
      <c r="H32" t="s">
        <v>582</v>
      </c>
      <c r="I32" t="s">
        <v>583</v>
      </c>
      <c r="J32" t="s">
        <v>578</v>
      </c>
    </row>
    <row r="33" spans="1:10" x14ac:dyDescent="0.4">
      <c r="A33" t="s">
        <v>484</v>
      </c>
      <c r="B33" t="s">
        <v>485</v>
      </c>
      <c r="C33" t="s">
        <v>486</v>
      </c>
      <c r="D33" t="s">
        <v>487</v>
      </c>
      <c r="E33" t="s">
        <v>488</v>
      </c>
      <c r="F33" t="s">
        <v>489</v>
      </c>
      <c r="G33" t="b">
        <v>0</v>
      </c>
      <c r="H33" t="s">
        <v>490</v>
      </c>
      <c r="I33" t="s">
        <v>491</v>
      </c>
      <c r="J33" t="s">
        <v>484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13E6C-8FCA-4F82-A942-ED6411D7BC57}">
  <dimension ref="A1:L31"/>
  <sheetViews>
    <sheetView topLeftCell="E1" zoomScale="88" zoomScaleNormal="90" workbookViewId="0">
      <pane ySplit="1" topLeftCell="A8" activePane="bottomLeft" state="frozen"/>
      <selection pane="bottomLeft" activeCell="L1" sqref="L1:L1048576"/>
    </sheetView>
  </sheetViews>
  <sheetFormatPr baseColWidth="10" defaultRowHeight="14.6" x14ac:dyDescent="0.4"/>
  <cols>
    <col min="1" max="1" width="23.921875" bestFit="1" customWidth="1"/>
    <col min="2" max="2" width="18.53515625" bestFit="1" customWidth="1"/>
    <col min="3" max="3" width="4.4609375" bestFit="1" customWidth="1"/>
    <col min="4" max="4" width="234.3046875" bestFit="1" customWidth="1"/>
    <col min="5" max="5" width="148.3828125" bestFit="1" customWidth="1"/>
    <col min="6" max="6" width="20.15234375" bestFit="1" customWidth="1"/>
    <col min="7" max="7" width="7.765625" bestFit="1" customWidth="1"/>
    <col min="8" max="8" width="22.61328125" bestFit="1" customWidth="1"/>
    <col min="9" max="9" width="20.15234375" bestFit="1" customWidth="1"/>
    <col min="10" max="10" width="23.921875" bestFit="1" customWidth="1"/>
    <col min="11" max="11" width="26.23046875" bestFit="1" customWidth="1"/>
  </cols>
  <sheetData>
    <row r="1" spans="1:12" x14ac:dyDescent="0.4">
      <c r="A1" s="8" t="s">
        <v>0</v>
      </c>
      <c r="B1" s="8" t="s">
        <v>1</v>
      </c>
      <c r="C1" s="8" t="s">
        <v>2</v>
      </c>
      <c r="D1" s="8" t="s">
        <v>3</v>
      </c>
      <c r="E1" s="8" t="s">
        <v>4</v>
      </c>
      <c r="F1" s="8" t="s">
        <v>5</v>
      </c>
      <c r="G1" s="8" t="s">
        <v>6</v>
      </c>
      <c r="H1" s="8" t="s">
        <v>7</v>
      </c>
      <c r="I1" s="8" t="s">
        <v>8</v>
      </c>
      <c r="J1" s="8" t="s">
        <v>0</v>
      </c>
      <c r="K1" s="8" t="s">
        <v>645</v>
      </c>
    </row>
    <row r="2" spans="1:12" x14ac:dyDescent="0.4">
      <c r="A2" t="s">
        <v>245</v>
      </c>
      <c r="B2" t="s">
        <v>246</v>
      </c>
      <c r="C2" t="s">
        <v>11</v>
      </c>
      <c r="D2" t="s">
        <v>247</v>
      </c>
      <c r="E2" t="s">
        <v>248</v>
      </c>
      <c r="F2" t="s">
        <v>249</v>
      </c>
      <c r="G2" t="b">
        <v>0</v>
      </c>
      <c r="H2" t="s">
        <v>250</v>
      </c>
      <c r="I2" t="s">
        <v>251</v>
      </c>
      <c r="J2" t="s">
        <v>245</v>
      </c>
      <c r="K2">
        <v>2.5</v>
      </c>
      <c r="L2" t="str">
        <f>IFERROR(_xlfn.XLOOKUP(A2,feature_catalog!A:A,feature_catalog!A:A),"")</f>
        <v>possessionWonAttThird</v>
      </c>
    </row>
    <row r="3" spans="1:12" x14ac:dyDescent="0.4">
      <c r="A3" t="s">
        <v>364</v>
      </c>
      <c r="B3" t="s">
        <v>365</v>
      </c>
      <c r="C3" t="s">
        <v>11</v>
      </c>
      <c r="D3" t="s">
        <v>366</v>
      </c>
      <c r="E3" t="s">
        <v>367</v>
      </c>
      <c r="F3" t="s">
        <v>349</v>
      </c>
      <c r="G3" t="b">
        <v>0</v>
      </c>
      <c r="H3" t="s">
        <v>368</v>
      </c>
      <c r="I3" t="s">
        <v>369</v>
      </c>
      <c r="J3" t="s">
        <v>364</v>
      </c>
      <c r="K3">
        <v>1.5</v>
      </c>
      <c r="L3" t="str">
        <f>IFERROR(_xlfn.XLOOKUP(A3,feature_catalog!A:A,feature_catalog!A:A),"")</f>
        <v>interceptions</v>
      </c>
    </row>
    <row r="4" spans="1:12" x14ac:dyDescent="0.4">
      <c r="A4" t="s">
        <v>258</v>
      </c>
      <c r="B4" t="s">
        <v>259</v>
      </c>
      <c r="C4" t="s">
        <v>11</v>
      </c>
      <c r="D4" t="s">
        <v>260</v>
      </c>
      <c r="E4" t="s">
        <v>261</v>
      </c>
      <c r="F4" t="s">
        <v>262</v>
      </c>
      <c r="G4" t="b">
        <v>0</v>
      </c>
      <c r="H4" t="s">
        <v>263</v>
      </c>
      <c r="I4" t="s">
        <v>264</v>
      </c>
      <c r="J4" t="s">
        <v>258</v>
      </c>
      <c r="K4">
        <v>1.5</v>
      </c>
      <c r="L4" t="str">
        <f>IFERROR(_xlfn.XLOOKUP(A4,feature_catalog!A:A,feature_catalog!A:A),"")</f>
        <v>ballRecovery</v>
      </c>
    </row>
    <row r="5" spans="1:12" x14ac:dyDescent="0.4">
      <c r="A5" t="s">
        <v>345</v>
      </c>
      <c r="B5" t="s">
        <v>346</v>
      </c>
      <c r="C5" t="s">
        <v>11</v>
      </c>
      <c r="D5" t="s">
        <v>347</v>
      </c>
      <c r="E5" t="s">
        <v>348</v>
      </c>
      <c r="F5" t="s">
        <v>349</v>
      </c>
      <c r="G5" t="b">
        <v>0</v>
      </c>
      <c r="H5" t="s">
        <v>350</v>
      </c>
      <c r="I5" t="s">
        <v>351</v>
      </c>
      <c r="J5" t="s">
        <v>345</v>
      </c>
      <c r="L5" t="str">
        <f>IFERROR(_xlfn.XLOOKUP(A5,feature_catalog!A:A,feature_catalog!A:A),"")</f>
        <v>tackles</v>
      </c>
    </row>
    <row r="6" spans="1:12" x14ac:dyDescent="0.4">
      <c r="A6" t="s">
        <v>352</v>
      </c>
      <c r="B6" t="s">
        <v>353</v>
      </c>
      <c r="C6" t="s">
        <v>11</v>
      </c>
      <c r="D6" t="s">
        <v>354</v>
      </c>
      <c r="E6" t="s">
        <v>355</v>
      </c>
      <c r="F6" t="s">
        <v>349</v>
      </c>
      <c r="G6" t="b">
        <v>0</v>
      </c>
      <c r="H6" t="s">
        <v>356</v>
      </c>
      <c r="I6" t="s">
        <v>357</v>
      </c>
      <c r="J6" t="s">
        <v>352</v>
      </c>
      <c r="L6" t="str">
        <f>IFERROR(_xlfn.XLOOKUP(A6,feature_catalog!A:A,feature_catalog!A:A),"")</f>
        <v>tacklesWon</v>
      </c>
    </row>
    <row r="7" spans="1:12" x14ac:dyDescent="0.4">
      <c r="A7" t="s">
        <v>358</v>
      </c>
      <c r="B7" t="s">
        <v>359</v>
      </c>
      <c r="C7" t="s">
        <v>79</v>
      </c>
      <c r="D7" t="s">
        <v>360</v>
      </c>
      <c r="E7" t="s">
        <v>361</v>
      </c>
      <c r="F7" t="s">
        <v>349</v>
      </c>
      <c r="G7" t="b">
        <v>0</v>
      </c>
      <c r="H7" t="s">
        <v>362</v>
      </c>
      <c r="I7" t="s">
        <v>363</v>
      </c>
      <c r="J7" t="s">
        <v>358</v>
      </c>
      <c r="L7" t="str">
        <f>IFERROR(_xlfn.XLOOKUP(A7,feature_catalog!A:A,feature_catalog!A:A),"")</f>
        <v>_tackle_success_pct</v>
      </c>
    </row>
    <row r="8" spans="1:12" x14ac:dyDescent="0.4">
      <c r="A8" t="s">
        <v>418</v>
      </c>
      <c r="B8" t="s">
        <v>419</v>
      </c>
      <c r="C8" t="s">
        <v>79</v>
      </c>
      <c r="D8" t="s">
        <v>420</v>
      </c>
      <c r="E8" t="s">
        <v>421</v>
      </c>
      <c r="F8" t="s">
        <v>415</v>
      </c>
      <c r="G8" t="b">
        <v>0</v>
      </c>
      <c r="H8" t="s">
        <v>422</v>
      </c>
      <c r="I8" t="s">
        <v>423</v>
      </c>
      <c r="J8" t="s">
        <v>418</v>
      </c>
      <c r="K8">
        <v>1.5</v>
      </c>
      <c r="L8" t="str">
        <f>IFERROR(_xlfn.XLOOKUP(A8,feature_catalog!A:A,feature_catalog!A:A),"")</f>
        <v>groundDuelsWonPercentage</v>
      </c>
    </row>
    <row r="9" spans="1:12" x14ac:dyDescent="0.4">
      <c r="A9" t="s">
        <v>411</v>
      </c>
      <c r="B9" t="s">
        <v>412</v>
      </c>
      <c r="C9" t="s">
        <v>11</v>
      </c>
      <c r="D9" t="s">
        <v>413</v>
      </c>
      <c r="E9" t="s">
        <v>414</v>
      </c>
      <c r="F9" t="s">
        <v>415</v>
      </c>
      <c r="G9" t="b">
        <v>0</v>
      </c>
      <c r="H9" t="s">
        <v>416</v>
      </c>
      <c r="I9" t="s">
        <v>417</v>
      </c>
      <c r="J9" t="s">
        <v>411</v>
      </c>
      <c r="K9">
        <v>2</v>
      </c>
      <c r="L9" t="str">
        <f>IFERROR(_xlfn.XLOOKUP(A9,feature_catalog!A:A,feature_catalog!A:A),"")</f>
        <v>groundDuelsWon</v>
      </c>
    </row>
    <row r="10" spans="1:12" x14ac:dyDescent="0.4">
      <c r="A10" t="s">
        <v>431</v>
      </c>
      <c r="B10" t="s">
        <v>432</v>
      </c>
      <c r="C10" t="s">
        <v>79</v>
      </c>
      <c r="D10" t="s">
        <v>433</v>
      </c>
      <c r="E10" t="s">
        <v>434</v>
      </c>
      <c r="F10" t="s">
        <v>435</v>
      </c>
      <c r="G10" t="b">
        <v>0</v>
      </c>
      <c r="H10" t="s">
        <v>436</v>
      </c>
      <c r="I10" t="s">
        <v>437</v>
      </c>
      <c r="J10" t="s">
        <v>431</v>
      </c>
      <c r="K10">
        <v>1</v>
      </c>
      <c r="L10" t="str">
        <f>IFERROR(_xlfn.XLOOKUP(A10,feature_catalog!A:A,feature_catalog!A:A),"")</f>
        <v>aerialDuelsWonPercentage</v>
      </c>
    </row>
    <row r="11" spans="1:12" x14ac:dyDescent="0.4">
      <c r="A11" t="s">
        <v>424</v>
      </c>
      <c r="B11" t="s">
        <v>425</v>
      </c>
      <c r="C11" t="s">
        <v>11</v>
      </c>
      <c r="D11" t="s">
        <v>426</v>
      </c>
      <c r="E11" t="s">
        <v>427</v>
      </c>
      <c r="F11" t="s">
        <v>428</v>
      </c>
      <c r="G11" t="b">
        <v>0</v>
      </c>
      <c r="H11" t="s">
        <v>429</v>
      </c>
      <c r="I11" t="s">
        <v>430</v>
      </c>
      <c r="J11" t="s">
        <v>424</v>
      </c>
      <c r="K11" t="str">
        <f>IFERROR(VLOOKUP(J11,lateral_classique!$A:$K,11,0),"")</f>
        <v/>
      </c>
      <c r="L11" t="str">
        <f>IFERROR(_xlfn.XLOOKUP(A11,feature_catalog!A:A,feature_catalog!A:A),"")</f>
        <v>aerialDuelsWon</v>
      </c>
    </row>
    <row r="12" spans="1:12" x14ac:dyDescent="0.4">
      <c r="A12" t="s">
        <v>404</v>
      </c>
      <c r="B12" t="s">
        <v>405</v>
      </c>
      <c r="C12" t="s">
        <v>79</v>
      </c>
      <c r="D12" t="s">
        <v>406</v>
      </c>
      <c r="E12" t="s">
        <v>407</v>
      </c>
      <c r="F12" t="s">
        <v>408</v>
      </c>
      <c r="G12" t="b">
        <v>0</v>
      </c>
      <c r="H12" t="s">
        <v>409</v>
      </c>
      <c r="I12" t="s">
        <v>410</v>
      </c>
      <c r="J12" t="s">
        <v>404</v>
      </c>
      <c r="K12" t="str">
        <f>IFERROR(VLOOKUP(J12,lateral_classique!$A:$K,11,0),"")</f>
        <v/>
      </c>
      <c r="L12" t="str">
        <f>IFERROR(_xlfn.XLOOKUP(A12,feature_catalog!A:A,feature_catalog!A:A),"")</f>
        <v>_duels_won_pct</v>
      </c>
    </row>
    <row r="13" spans="1:12" x14ac:dyDescent="0.4">
      <c r="A13" t="s">
        <v>397</v>
      </c>
      <c r="B13" t="s">
        <v>398</v>
      </c>
      <c r="C13" t="s">
        <v>11</v>
      </c>
      <c r="D13" t="s">
        <v>399</v>
      </c>
      <c r="E13" t="s">
        <v>400</v>
      </c>
      <c r="F13" t="s">
        <v>401</v>
      </c>
      <c r="G13" t="b">
        <v>0</v>
      </c>
      <c r="H13" t="s">
        <v>402</v>
      </c>
      <c r="I13" t="s">
        <v>403</v>
      </c>
      <c r="J13" t="s">
        <v>397</v>
      </c>
      <c r="K13" t="str">
        <f>IFERROR(VLOOKUP(J13,lateral_classique!$A:$K,11,0),"")</f>
        <v/>
      </c>
      <c r="L13" t="str">
        <f>IFERROR(_xlfn.XLOOKUP(A13,feature_catalog!A:A,feature_catalog!A:A),"")</f>
        <v>_duels_won_p90</v>
      </c>
    </row>
    <row r="14" spans="1:12" x14ac:dyDescent="0.4">
      <c r="A14" t="s">
        <v>268</v>
      </c>
      <c r="B14" t="s">
        <v>269</v>
      </c>
      <c r="C14" t="s">
        <v>11</v>
      </c>
      <c r="D14" t="s">
        <v>270</v>
      </c>
      <c r="E14" t="s">
        <v>271</v>
      </c>
      <c r="F14" t="s">
        <v>272</v>
      </c>
      <c r="G14" t="b">
        <v>1</v>
      </c>
      <c r="H14" t="s">
        <v>273</v>
      </c>
      <c r="I14" t="s">
        <v>274</v>
      </c>
      <c r="J14" t="s">
        <v>268</v>
      </c>
      <c r="K14">
        <v>1</v>
      </c>
      <c r="L14" t="str">
        <f>IFERROR(_xlfn.XLOOKUP(A14,feature_catalog!A:A,feature_catalog!A:A),"")</f>
        <v>dribbledPast</v>
      </c>
    </row>
    <row r="15" spans="1:12" x14ac:dyDescent="0.4">
      <c r="A15" t="s">
        <v>370</v>
      </c>
      <c r="B15" t="s">
        <v>371</v>
      </c>
      <c r="C15" t="s">
        <v>11</v>
      </c>
      <c r="D15" t="s">
        <v>372</v>
      </c>
      <c r="E15" t="s">
        <v>373</v>
      </c>
      <c r="F15" t="s">
        <v>374</v>
      </c>
      <c r="G15" t="b">
        <v>0</v>
      </c>
      <c r="H15" t="s">
        <v>375</v>
      </c>
      <c r="I15" t="s">
        <v>376</v>
      </c>
      <c r="J15" t="s">
        <v>370</v>
      </c>
      <c r="L15" t="str">
        <f>IFERROR(_xlfn.XLOOKUP(A15,feature_catalog!A:A,feature_catalog!A:A),"")</f>
        <v>clearances</v>
      </c>
    </row>
    <row r="16" spans="1:12" x14ac:dyDescent="0.4">
      <c r="A16" t="s">
        <v>377</v>
      </c>
      <c r="B16" t="s">
        <v>378</v>
      </c>
      <c r="C16" t="s">
        <v>11</v>
      </c>
      <c r="D16" t="s">
        <v>379</v>
      </c>
      <c r="E16" t="s">
        <v>380</v>
      </c>
      <c r="F16" t="s">
        <v>381</v>
      </c>
      <c r="G16" t="b">
        <v>0</v>
      </c>
      <c r="H16" t="s">
        <v>382</v>
      </c>
      <c r="I16" t="s">
        <v>383</v>
      </c>
      <c r="J16" t="s">
        <v>377</v>
      </c>
      <c r="L16" t="str">
        <f>IFERROR(_xlfn.XLOOKUP(A16,feature_catalog!A:A,feature_catalog!A:A),"")</f>
        <v/>
      </c>
    </row>
    <row r="17" spans="1:12" x14ac:dyDescent="0.4">
      <c r="A17" t="s">
        <v>384</v>
      </c>
      <c r="B17" t="s">
        <v>385</v>
      </c>
      <c r="C17" t="s">
        <v>11</v>
      </c>
      <c r="D17" t="s">
        <v>386</v>
      </c>
      <c r="E17" t="s">
        <v>387</v>
      </c>
      <c r="F17" t="s">
        <v>388</v>
      </c>
      <c r="G17" t="b">
        <v>0</v>
      </c>
      <c r="H17" t="s">
        <v>389</v>
      </c>
      <c r="I17" t="s">
        <v>390</v>
      </c>
      <c r="J17" t="s">
        <v>384</v>
      </c>
      <c r="L17" t="str">
        <f>IFERROR(_xlfn.XLOOKUP(A17,feature_catalog!A:A,feature_catalog!A:A),"")</f>
        <v>blockedShots</v>
      </c>
    </row>
    <row r="18" spans="1:12" x14ac:dyDescent="0.4">
      <c r="A18" t="s">
        <v>315</v>
      </c>
      <c r="B18" t="s">
        <v>316</v>
      </c>
      <c r="C18" t="s">
        <v>11</v>
      </c>
      <c r="D18" t="s">
        <v>317</v>
      </c>
      <c r="E18" t="s">
        <v>318</v>
      </c>
      <c r="F18" t="s">
        <v>319</v>
      </c>
      <c r="G18" t="b">
        <v>0</v>
      </c>
      <c r="H18" t="s">
        <v>320</v>
      </c>
      <c r="I18" t="s">
        <v>321</v>
      </c>
      <c r="J18" t="s">
        <v>315</v>
      </c>
      <c r="K18" t="str">
        <f>IFERROR(VLOOKUP(J18,lateral_classique!$A:$K,11,0),"")</f>
        <v/>
      </c>
      <c r="L18" t="str">
        <f>IFERROR(_xlfn.XLOOKUP(A18,feature_catalog!A:A,feature_catalog!A:A),"")</f>
        <v>outfielderBlocks</v>
      </c>
    </row>
    <row r="19" spans="1:12" x14ac:dyDescent="0.4">
      <c r="A19" t="s">
        <v>302</v>
      </c>
      <c r="B19" t="s">
        <v>303</v>
      </c>
      <c r="C19" t="s">
        <v>11</v>
      </c>
      <c r="D19" t="s">
        <v>304</v>
      </c>
      <c r="E19" t="s">
        <v>305</v>
      </c>
      <c r="F19" t="s">
        <v>306</v>
      </c>
      <c r="G19" t="b">
        <v>1</v>
      </c>
      <c r="H19" t="s">
        <v>307</v>
      </c>
      <c r="I19" t="s">
        <v>308</v>
      </c>
      <c r="J19" t="s">
        <v>302</v>
      </c>
      <c r="L19" t="str">
        <f>IFERROR(_xlfn.XLOOKUP(A19,feature_catalog!A:A,feature_catalog!A:A),"")</f>
        <v>fouls</v>
      </c>
    </row>
    <row r="20" spans="1:12" x14ac:dyDescent="0.4">
      <c r="A20" t="s">
        <v>252</v>
      </c>
      <c r="B20" t="s">
        <v>253</v>
      </c>
      <c r="C20" t="s">
        <v>11</v>
      </c>
      <c r="D20" t="s">
        <v>254</v>
      </c>
      <c r="E20" t="s">
        <v>255</v>
      </c>
      <c r="F20" t="s">
        <v>49</v>
      </c>
      <c r="G20" t="b">
        <v>0</v>
      </c>
      <c r="H20" t="s">
        <v>256</v>
      </c>
      <c r="I20" t="s">
        <v>257</v>
      </c>
      <c r="J20" t="s">
        <v>252</v>
      </c>
      <c r="K20" t="str">
        <f>IFERROR(VLOOKUP(J20,lateral_classique!$A:$K,11,0),"")</f>
        <v/>
      </c>
      <c r="L20" t="str">
        <f>IFERROR(_xlfn.XLOOKUP(A20,feature_catalog!A:A,feature_catalog!A:A),"")</f>
        <v>wasFouled</v>
      </c>
    </row>
    <row r="21" spans="1:12" x14ac:dyDescent="0.4">
      <c r="A21" t="s">
        <v>309</v>
      </c>
      <c r="B21" t="s">
        <v>310</v>
      </c>
      <c r="C21" t="s">
        <v>11</v>
      </c>
      <c r="D21" t="s">
        <v>311</v>
      </c>
      <c r="E21" t="s">
        <v>312</v>
      </c>
      <c r="F21" t="s">
        <v>272</v>
      </c>
      <c r="G21" t="b">
        <v>1</v>
      </c>
      <c r="H21" t="s">
        <v>313</v>
      </c>
      <c r="I21" t="s">
        <v>314</v>
      </c>
      <c r="J21" t="s">
        <v>309</v>
      </c>
      <c r="L21" t="str">
        <f>IFERROR(_xlfn.XLOOKUP(A21,feature_catalog!A:A,feature_catalog!A:A),"")</f>
        <v>penaltyConceded</v>
      </c>
    </row>
    <row r="22" spans="1:12" x14ac:dyDescent="0.4">
      <c r="A22" t="s">
        <v>329</v>
      </c>
      <c r="B22" t="s">
        <v>330</v>
      </c>
      <c r="C22" t="s">
        <v>11</v>
      </c>
      <c r="D22" t="s">
        <v>331</v>
      </c>
      <c r="E22" t="s">
        <v>332</v>
      </c>
      <c r="F22" t="s">
        <v>333</v>
      </c>
      <c r="G22" t="b">
        <v>1</v>
      </c>
      <c r="H22" t="s">
        <v>334</v>
      </c>
      <c r="I22" t="s">
        <v>335</v>
      </c>
      <c r="J22" t="s">
        <v>329</v>
      </c>
      <c r="L22" t="str">
        <f>IFERROR(_xlfn.XLOOKUP(A22,feature_catalog!A:A,feature_catalog!A:A),"")</f>
        <v>errorLeadToGoal</v>
      </c>
    </row>
    <row r="23" spans="1:12" x14ac:dyDescent="0.4">
      <c r="A23" t="s">
        <v>336</v>
      </c>
      <c r="B23" t="s">
        <v>337</v>
      </c>
      <c r="C23" t="s">
        <v>11</v>
      </c>
      <c r="D23" t="s">
        <v>338</v>
      </c>
      <c r="E23" t="s">
        <v>339</v>
      </c>
      <c r="F23" t="s">
        <v>333</v>
      </c>
      <c r="G23" t="b">
        <v>1</v>
      </c>
      <c r="H23" t="s">
        <v>340</v>
      </c>
      <c r="I23" t="s">
        <v>341</v>
      </c>
      <c r="J23" t="s">
        <v>336</v>
      </c>
      <c r="K23">
        <f>IFERROR(VLOOKUP(J23,lateral_classique!$A:$K,11,0),"")</f>
        <v>1</v>
      </c>
      <c r="L23" t="str">
        <f>IFERROR(_xlfn.XLOOKUP(A23,feature_catalog!A:A,feature_catalog!A:A),"")</f>
        <v>errorLeadToShot</v>
      </c>
    </row>
    <row r="24" spans="1:12" x14ac:dyDescent="0.4">
      <c r="A24" t="s">
        <v>159</v>
      </c>
      <c r="B24" t="s">
        <v>160</v>
      </c>
      <c r="C24" t="s">
        <v>79</v>
      </c>
      <c r="D24" t="s">
        <v>161</v>
      </c>
      <c r="E24" t="s">
        <v>162</v>
      </c>
      <c r="F24" t="s">
        <v>163</v>
      </c>
      <c r="G24" t="b">
        <v>0</v>
      </c>
      <c r="H24" t="s">
        <v>164</v>
      </c>
      <c r="I24" t="s">
        <v>165</v>
      </c>
      <c r="J24" t="s">
        <v>159</v>
      </c>
      <c r="K24">
        <v>1</v>
      </c>
      <c r="L24" t="str">
        <f>IFERROR(_xlfn.XLOOKUP(A24,feature_catalog!A:A,feature_catalog!A:A),"")</f>
        <v>accuratePassesPercentage</v>
      </c>
    </row>
    <row r="25" spans="1:12" x14ac:dyDescent="0.4">
      <c r="A25" t="s">
        <v>238</v>
      </c>
      <c r="B25" t="s">
        <v>239</v>
      </c>
      <c r="C25" t="s">
        <v>11</v>
      </c>
      <c r="D25" t="s">
        <v>240</v>
      </c>
      <c r="E25" t="s">
        <v>241</v>
      </c>
      <c r="F25" t="s">
        <v>242</v>
      </c>
      <c r="G25" t="b">
        <v>1</v>
      </c>
      <c r="H25" t="s">
        <v>243</v>
      </c>
      <c r="I25" t="s">
        <v>244</v>
      </c>
      <c r="J25" t="s">
        <v>238</v>
      </c>
      <c r="K25">
        <f>IFERROR(VLOOKUP(J25,lateral_classique!$A:$K,11,0),"")</f>
        <v>1</v>
      </c>
      <c r="L25" t="str">
        <f>IFERROR(_xlfn.XLOOKUP(A25,feature_catalog!A:A,feature_catalog!A:A),"")</f>
        <v>possessionLost</v>
      </c>
    </row>
    <row r="26" spans="1:12" x14ac:dyDescent="0.4">
      <c r="A26" t="s">
        <v>179</v>
      </c>
      <c r="B26" t="s">
        <v>180</v>
      </c>
      <c r="C26" t="s">
        <v>11</v>
      </c>
      <c r="D26" t="s">
        <v>181</v>
      </c>
      <c r="E26" t="s">
        <v>182</v>
      </c>
      <c r="F26" t="s">
        <v>183</v>
      </c>
      <c r="G26" t="b">
        <v>0</v>
      </c>
      <c r="H26" t="s">
        <v>184</v>
      </c>
      <c r="I26" t="s">
        <v>185</v>
      </c>
      <c r="J26" t="s">
        <v>179</v>
      </c>
      <c r="L26" t="str">
        <f>IFERROR(_xlfn.XLOOKUP(A26,feature_catalog!A:A,feature_catalog!A:A),"")</f>
        <v>accurateCrosses</v>
      </c>
    </row>
    <row r="27" spans="1:12" x14ac:dyDescent="0.4">
      <c r="A27" t="s">
        <v>38</v>
      </c>
      <c r="B27" t="s">
        <v>39</v>
      </c>
      <c r="C27" t="s">
        <v>11</v>
      </c>
      <c r="D27" t="s">
        <v>40</v>
      </c>
      <c r="E27" t="s">
        <v>41</v>
      </c>
      <c r="F27" t="s">
        <v>42</v>
      </c>
      <c r="G27" t="b">
        <v>0</v>
      </c>
      <c r="H27" t="s">
        <v>43</v>
      </c>
      <c r="I27" t="s">
        <v>44</v>
      </c>
      <c r="J27" t="s">
        <v>38</v>
      </c>
      <c r="L27" t="str">
        <f>IFERROR(_xlfn.XLOOKUP(A27,feature_catalog!A:A,feature_catalog!A:A),"")</f>
        <v>xGBuildup_us</v>
      </c>
    </row>
    <row r="28" spans="1:12" x14ac:dyDescent="0.4">
      <c r="A28" t="s">
        <v>106</v>
      </c>
      <c r="B28" t="s">
        <v>107</v>
      </c>
      <c r="C28" t="s">
        <v>11</v>
      </c>
      <c r="D28" t="s">
        <v>108</v>
      </c>
      <c r="E28" t="s">
        <v>109</v>
      </c>
      <c r="F28" t="s">
        <v>110</v>
      </c>
      <c r="G28" t="b">
        <v>0</v>
      </c>
      <c r="H28" t="s">
        <v>111</v>
      </c>
      <c r="I28" t="s">
        <v>112</v>
      </c>
      <c r="J28" t="s">
        <v>106</v>
      </c>
      <c r="L28" t="str">
        <f>IFERROR(_xlfn.XLOOKUP(A28,feature_catalog!A:A,feature_catalog!A:A),"")</f>
        <v>accurateFinalThirdPasses</v>
      </c>
    </row>
    <row r="29" spans="1:12" x14ac:dyDescent="0.4">
      <c r="A29" t="s">
        <v>572</v>
      </c>
      <c r="B29" t="s">
        <v>573</v>
      </c>
      <c r="C29" t="s">
        <v>486</v>
      </c>
      <c r="D29" t="s">
        <v>574</v>
      </c>
      <c r="E29" t="s">
        <v>575</v>
      </c>
      <c r="F29" t="s">
        <v>489</v>
      </c>
      <c r="G29" t="b">
        <v>0</v>
      </c>
      <c r="H29" t="s">
        <v>576</v>
      </c>
      <c r="I29" t="s">
        <v>577</v>
      </c>
      <c r="J29" t="s">
        <v>572</v>
      </c>
      <c r="L29" t="str">
        <f>IFERROR(_xlfn.XLOOKUP(A29,feature_catalog!A:A,feature_catalog!A:A),"")</f>
        <v>averageX</v>
      </c>
    </row>
    <row r="30" spans="1:12" x14ac:dyDescent="0.4">
      <c r="A30" t="s">
        <v>578</v>
      </c>
      <c r="B30" t="s">
        <v>579</v>
      </c>
      <c r="C30" t="s">
        <v>486</v>
      </c>
      <c r="D30" t="s">
        <v>580</v>
      </c>
      <c r="E30" t="s">
        <v>581</v>
      </c>
      <c r="F30" t="s">
        <v>489</v>
      </c>
      <c r="G30" t="b">
        <v>0</v>
      </c>
      <c r="H30" t="s">
        <v>582</v>
      </c>
      <c r="I30" t="s">
        <v>583</v>
      </c>
      <c r="J30" t="s">
        <v>578</v>
      </c>
    </row>
    <row r="31" spans="1:12" x14ac:dyDescent="0.4">
      <c r="A31" t="s">
        <v>484</v>
      </c>
      <c r="B31" t="s">
        <v>485</v>
      </c>
      <c r="C31" t="s">
        <v>486</v>
      </c>
      <c r="D31" t="s">
        <v>487</v>
      </c>
      <c r="E31" t="s">
        <v>488</v>
      </c>
      <c r="F31" t="s">
        <v>489</v>
      </c>
      <c r="G31" t="b">
        <v>0</v>
      </c>
      <c r="H31" t="s">
        <v>490</v>
      </c>
      <c r="I31" t="s">
        <v>491</v>
      </c>
      <c r="J31" t="s">
        <v>484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44420-A7C7-4013-94BA-D135AB98D391}">
  <dimension ref="A1:L29"/>
  <sheetViews>
    <sheetView topLeftCell="F1" workbookViewId="0">
      <pane ySplit="1" topLeftCell="A12" activePane="bottomLeft" state="frozen"/>
      <selection pane="bottomLeft" activeCell="L1" sqref="L1:L1048576"/>
    </sheetView>
  </sheetViews>
  <sheetFormatPr baseColWidth="10" defaultRowHeight="14.6" x14ac:dyDescent="0.4"/>
  <cols>
    <col min="1" max="1" width="25" bestFit="1" customWidth="1"/>
    <col min="2" max="2" width="18.53515625" bestFit="1" customWidth="1"/>
    <col min="3" max="3" width="4.4609375" bestFit="1" customWidth="1"/>
    <col min="4" max="4" width="234.3046875" bestFit="1" customWidth="1"/>
    <col min="5" max="5" width="148.3828125" bestFit="1" customWidth="1"/>
    <col min="6" max="6" width="20.15234375" bestFit="1" customWidth="1"/>
    <col min="7" max="7" width="7.765625" bestFit="1" customWidth="1"/>
    <col min="8" max="8" width="22.61328125" bestFit="1" customWidth="1"/>
    <col min="9" max="9" width="20.15234375" bestFit="1" customWidth="1"/>
    <col min="10" max="10" width="25" bestFit="1" customWidth="1"/>
    <col min="11" max="11" width="25" customWidth="1"/>
  </cols>
  <sheetData>
    <row r="1" spans="1:12" x14ac:dyDescent="0.4">
      <c r="A1" s="9" t="s">
        <v>0</v>
      </c>
      <c r="B1" s="9" t="s">
        <v>1</v>
      </c>
      <c r="C1" s="9" t="s">
        <v>2</v>
      </c>
      <c r="D1" s="9" t="s">
        <v>3</v>
      </c>
      <c r="E1" s="9" t="s">
        <v>4</v>
      </c>
      <c r="F1" s="9" t="s">
        <v>5</v>
      </c>
      <c r="G1" s="9" t="s">
        <v>6</v>
      </c>
      <c r="H1" s="9" t="s">
        <v>7</v>
      </c>
      <c r="I1" s="9" t="s">
        <v>8</v>
      </c>
      <c r="J1" s="9" t="s">
        <v>0</v>
      </c>
      <c r="K1" s="9" t="s">
        <v>645</v>
      </c>
    </row>
    <row r="2" spans="1:12" x14ac:dyDescent="0.4">
      <c r="A2" t="s">
        <v>364</v>
      </c>
      <c r="B2" t="s">
        <v>365</v>
      </c>
      <c r="C2" t="s">
        <v>11</v>
      </c>
      <c r="D2" t="s">
        <v>366</v>
      </c>
      <c r="E2" t="s">
        <v>367</v>
      </c>
      <c r="F2" t="s">
        <v>349</v>
      </c>
      <c r="G2" t="b">
        <v>0</v>
      </c>
      <c r="H2" t="s">
        <v>368</v>
      </c>
      <c r="I2" t="s">
        <v>369</v>
      </c>
      <c r="J2" t="s">
        <v>364</v>
      </c>
      <c r="K2">
        <v>3</v>
      </c>
      <c r="L2" t="str">
        <f>IFERROR(_xlfn.XLOOKUP(A2,feature_catalog!A:A,feature_catalog!A:A),"")</f>
        <v>interceptions</v>
      </c>
    </row>
    <row r="3" spans="1:12" x14ac:dyDescent="0.4">
      <c r="A3" t="s">
        <v>258</v>
      </c>
      <c r="B3" t="s">
        <v>259</v>
      </c>
      <c r="C3" t="s">
        <v>11</v>
      </c>
      <c r="D3" t="s">
        <v>260</v>
      </c>
      <c r="E3" t="s">
        <v>261</v>
      </c>
      <c r="F3" t="s">
        <v>262</v>
      </c>
      <c r="G3" t="b">
        <v>0</v>
      </c>
      <c r="H3" t="s">
        <v>263</v>
      </c>
      <c r="I3" t="s">
        <v>264</v>
      </c>
      <c r="J3" t="s">
        <v>258</v>
      </c>
      <c r="K3">
        <v>2</v>
      </c>
      <c r="L3" t="str">
        <f>IFERROR(_xlfn.XLOOKUP(A3,feature_catalog!A:A,feature_catalog!A:A),"")</f>
        <v>ballRecovery</v>
      </c>
    </row>
    <row r="4" spans="1:12" x14ac:dyDescent="0.4">
      <c r="A4" t="s">
        <v>345</v>
      </c>
      <c r="B4" t="s">
        <v>346</v>
      </c>
      <c r="C4" t="s">
        <v>11</v>
      </c>
      <c r="D4" t="s">
        <v>347</v>
      </c>
      <c r="E4" t="s">
        <v>348</v>
      </c>
      <c r="F4" t="s">
        <v>349</v>
      </c>
      <c r="G4" t="b">
        <v>0</v>
      </c>
      <c r="H4" t="s">
        <v>350</v>
      </c>
      <c r="I4" t="s">
        <v>351</v>
      </c>
      <c r="J4" t="s">
        <v>345</v>
      </c>
      <c r="K4">
        <v>1</v>
      </c>
      <c r="L4" t="str">
        <f>IFERROR(_xlfn.XLOOKUP(A4,feature_catalog!A:A,feature_catalog!A:A),"")</f>
        <v>tackles</v>
      </c>
    </row>
    <row r="5" spans="1:12" x14ac:dyDescent="0.4">
      <c r="A5" t="s">
        <v>352</v>
      </c>
      <c r="B5" t="s">
        <v>353</v>
      </c>
      <c r="C5" t="s">
        <v>11</v>
      </c>
      <c r="D5" t="s">
        <v>354</v>
      </c>
      <c r="E5" t="s">
        <v>355</v>
      </c>
      <c r="F5" t="s">
        <v>349</v>
      </c>
      <c r="G5" t="b">
        <v>0</v>
      </c>
      <c r="H5" t="s">
        <v>356</v>
      </c>
      <c r="I5" t="s">
        <v>357</v>
      </c>
      <c r="J5" t="s">
        <v>352</v>
      </c>
      <c r="K5">
        <v>1</v>
      </c>
      <c r="L5" t="str">
        <f>IFERROR(_xlfn.XLOOKUP(A5,feature_catalog!A:A,feature_catalog!A:A),"")</f>
        <v>tacklesWon</v>
      </c>
    </row>
    <row r="6" spans="1:12" x14ac:dyDescent="0.4">
      <c r="A6" t="s">
        <v>358</v>
      </c>
      <c r="B6" t="s">
        <v>359</v>
      </c>
      <c r="C6" t="s">
        <v>79</v>
      </c>
      <c r="D6" t="s">
        <v>360</v>
      </c>
      <c r="E6" t="s">
        <v>361</v>
      </c>
      <c r="F6" t="s">
        <v>349</v>
      </c>
      <c r="G6" t="b">
        <v>0</v>
      </c>
      <c r="H6" t="s">
        <v>362</v>
      </c>
      <c r="I6" t="s">
        <v>363</v>
      </c>
      <c r="J6" t="s">
        <v>358</v>
      </c>
      <c r="L6" t="str">
        <f>IFERROR(_xlfn.XLOOKUP(A6,feature_catalog!A:A,feature_catalog!A:A),"")</f>
        <v>_tackle_success_pct</v>
      </c>
    </row>
    <row r="7" spans="1:12" x14ac:dyDescent="0.4">
      <c r="A7" t="s">
        <v>418</v>
      </c>
      <c r="B7" t="s">
        <v>419</v>
      </c>
      <c r="C7" t="s">
        <v>79</v>
      </c>
      <c r="D7" t="s">
        <v>420</v>
      </c>
      <c r="E7" t="s">
        <v>421</v>
      </c>
      <c r="F7" t="s">
        <v>415</v>
      </c>
      <c r="G7" t="b">
        <v>0</v>
      </c>
      <c r="H7" t="s">
        <v>422</v>
      </c>
      <c r="I7" t="s">
        <v>423</v>
      </c>
      <c r="J7" t="s">
        <v>418</v>
      </c>
      <c r="K7">
        <v>1</v>
      </c>
      <c r="L7" t="str">
        <f>IFERROR(_xlfn.XLOOKUP(A7,feature_catalog!A:A,feature_catalog!A:A),"")</f>
        <v>groundDuelsWonPercentage</v>
      </c>
    </row>
    <row r="8" spans="1:12" x14ac:dyDescent="0.4">
      <c r="A8" t="s">
        <v>411</v>
      </c>
      <c r="B8" t="s">
        <v>412</v>
      </c>
      <c r="C8" t="s">
        <v>11</v>
      </c>
      <c r="D8" t="s">
        <v>413</v>
      </c>
      <c r="E8" t="s">
        <v>414</v>
      </c>
      <c r="F8" t="s">
        <v>415</v>
      </c>
      <c r="G8" t="b">
        <v>0</v>
      </c>
      <c r="H8" t="s">
        <v>416</v>
      </c>
      <c r="I8" t="s">
        <v>417</v>
      </c>
      <c r="J8" t="s">
        <v>411</v>
      </c>
      <c r="L8" t="str">
        <f>IFERROR(_xlfn.XLOOKUP(A8,feature_catalog!A:A,feature_catalog!A:A),"")</f>
        <v>groundDuelsWon</v>
      </c>
    </row>
    <row r="9" spans="1:12" x14ac:dyDescent="0.4">
      <c r="A9" t="s">
        <v>431</v>
      </c>
      <c r="B9" t="s">
        <v>432</v>
      </c>
      <c r="C9" t="s">
        <v>79</v>
      </c>
      <c r="D9" t="s">
        <v>433</v>
      </c>
      <c r="E9" t="s">
        <v>434</v>
      </c>
      <c r="F9" t="s">
        <v>435</v>
      </c>
      <c r="G9" t="b">
        <v>0</v>
      </c>
      <c r="H9" t="s">
        <v>436</v>
      </c>
      <c r="I9" t="s">
        <v>437</v>
      </c>
      <c r="J9" t="s">
        <v>431</v>
      </c>
      <c r="K9">
        <v>1.5</v>
      </c>
      <c r="L9" t="str">
        <f>IFERROR(_xlfn.XLOOKUP(A9,feature_catalog!A:A,feature_catalog!A:A),"")</f>
        <v>aerialDuelsWonPercentage</v>
      </c>
    </row>
    <row r="10" spans="1:12" x14ac:dyDescent="0.4">
      <c r="A10" t="s">
        <v>424</v>
      </c>
      <c r="B10" t="s">
        <v>425</v>
      </c>
      <c r="C10" t="s">
        <v>11</v>
      </c>
      <c r="D10" t="s">
        <v>426</v>
      </c>
      <c r="E10" t="s">
        <v>427</v>
      </c>
      <c r="F10" t="s">
        <v>428</v>
      </c>
      <c r="G10" t="b">
        <v>0</v>
      </c>
      <c r="H10" t="s">
        <v>429</v>
      </c>
      <c r="I10" t="s">
        <v>430</v>
      </c>
      <c r="J10" t="s">
        <v>424</v>
      </c>
      <c r="L10" t="str">
        <f>IFERROR(_xlfn.XLOOKUP(A10,feature_catalog!A:A,feature_catalog!A:A),"")</f>
        <v>aerialDuelsWon</v>
      </c>
    </row>
    <row r="11" spans="1:12" x14ac:dyDescent="0.4">
      <c r="A11" t="s">
        <v>404</v>
      </c>
      <c r="B11" t="s">
        <v>405</v>
      </c>
      <c r="C11" t="s">
        <v>79</v>
      </c>
      <c r="D11" t="s">
        <v>406</v>
      </c>
      <c r="E11" t="s">
        <v>407</v>
      </c>
      <c r="F11" t="s">
        <v>408</v>
      </c>
      <c r="G11" t="b">
        <v>0</v>
      </c>
      <c r="H11" t="s">
        <v>409</v>
      </c>
      <c r="I11" t="s">
        <v>410</v>
      </c>
      <c r="J11" t="s">
        <v>404</v>
      </c>
      <c r="L11" t="str">
        <f>IFERROR(_xlfn.XLOOKUP(A11,feature_catalog!A:A,feature_catalog!A:A),"")</f>
        <v>_duels_won_pct</v>
      </c>
    </row>
    <row r="12" spans="1:12" x14ac:dyDescent="0.4">
      <c r="A12" t="s">
        <v>370</v>
      </c>
      <c r="B12" t="s">
        <v>371</v>
      </c>
      <c r="C12" t="s">
        <v>11</v>
      </c>
      <c r="D12" t="s">
        <v>372</v>
      </c>
      <c r="E12" t="s">
        <v>373</v>
      </c>
      <c r="F12" t="s">
        <v>374</v>
      </c>
      <c r="G12" t="b">
        <v>0</v>
      </c>
      <c r="H12" t="s">
        <v>375</v>
      </c>
      <c r="I12" t="s">
        <v>376</v>
      </c>
      <c r="J12" t="s">
        <v>370</v>
      </c>
      <c r="L12" t="str">
        <f>IFERROR(_xlfn.XLOOKUP(A12,feature_catalog!A:A,feature_catalog!A:A),"")</f>
        <v>clearances</v>
      </c>
    </row>
    <row r="13" spans="1:12" x14ac:dyDescent="0.4">
      <c r="A13" t="s">
        <v>384</v>
      </c>
      <c r="B13" t="s">
        <v>385</v>
      </c>
      <c r="C13" t="s">
        <v>11</v>
      </c>
      <c r="D13" t="s">
        <v>386</v>
      </c>
      <c r="E13" t="s">
        <v>387</v>
      </c>
      <c r="F13" t="s">
        <v>388</v>
      </c>
      <c r="G13" t="b">
        <v>0</v>
      </c>
      <c r="H13" t="s">
        <v>389</v>
      </c>
      <c r="I13" t="s">
        <v>390</v>
      </c>
      <c r="J13" t="s">
        <v>384</v>
      </c>
      <c r="L13" t="str">
        <f>IFERROR(_xlfn.XLOOKUP(A13,feature_catalog!A:A,feature_catalog!A:A),"")</f>
        <v>blockedShots</v>
      </c>
    </row>
    <row r="14" spans="1:12" x14ac:dyDescent="0.4">
      <c r="A14" t="s">
        <v>315</v>
      </c>
      <c r="B14" t="s">
        <v>316</v>
      </c>
      <c r="C14" t="s">
        <v>11</v>
      </c>
      <c r="D14" t="s">
        <v>317</v>
      </c>
      <c r="E14" t="s">
        <v>318</v>
      </c>
      <c r="F14" t="s">
        <v>319</v>
      </c>
      <c r="G14" t="b">
        <v>0</v>
      </c>
      <c r="H14" t="s">
        <v>320</v>
      </c>
      <c r="I14" t="s">
        <v>321</v>
      </c>
      <c r="J14" t="s">
        <v>315</v>
      </c>
      <c r="L14" t="str">
        <f>IFERROR(_xlfn.XLOOKUP(A14,feature_catalog!A:A,feature_catalog!A:A),"")</f>
        <v>outfielderBlocks</v>
      </c>
    </row>
    <row r="15" spans="1:12" x14ac:dyDescent="0.4">
      <c r="A15" t="s">
        <v>268</v>
      </c>
      <c r="B15" t="s">
        <v>269</v>
      </c>
      <c r="C15" t="s">
        <v>11</v>
      </c>
      <c r="D15" t="s">
        <v>270</v>
      </c>
      <c r="E15" t="s">
        <v>271</v>
      </c>
      <c r="F15" t="s">
        <v>272</v>
      </c>
      <c r="G15" t="b">
        <v>1</v>
      </c>
      <c r="H15" t="s">
        <v>273</v>
      </c>
      <c r="I15" t="s">
        <v>274</v>
      </c>
      <c r="J15" t="s">
        <v>268</v>
      </c>
      <c r="K15">
        <v>1</v>
      </c>
      <c r="L15" t="str">
        <f>IFERROR(_xlfn.XLOOKUP(A15,feature_catalog!A:A,feature_catalog!A:A),"")</f>
        <v>dribbledPast</v>
      </c>
    </row>
    <row r="16" spans="1:12" x14ac:dyDescent="0.4">
      <c r="A16" t="s">
        <v>302</v>
      </c>
      <c r="B16" t="s">
        <v>303</v>
      </c>
      <c r="C16" t="s">
        <v>11</v>
      </c>
      <c r="D16" t="s">
        <v>304</v>
      </c>
      <c r="E16" t="s">
        <v>305</v>
      </c>
      <c r="F16" t="s">
        <v>306</v>
      </c>
      <c r="G16" t="b">
        <v>1</v>
      </c>
      <c r="H16" t="s">
        <v>307</v>
      </c>
      <c r="I16" t="s">
        <v>308</v>
      </c>
      <c r="J16" t="s">
        <v>302</v>
      </c>
      <c r="L16" t="str">
        <f>IFERROR(_xlfn.XLOOKUP(A16,feature_catalog!A:A,feature_catalog!A:A),"")</f>
        <v>fouls</v>
      </c>
    </row>
    <row r="17" spans="1:12" x14ac:dyDescent="0.4">
      <c r="A17" t="s">
        <v>329</v>
      </c>
      <c r="B17" t="s">
        <v>330</v>
      </c>
      <c r="C17" t="s">
        <v>11</v>
      </c>
      <c r="D17" t="s">
        <v>331</v>
      </c>
      <c r="E17" t="s">
        <v>332</v>
      </c>
      <c r="F17" t="s">
        <v>333</v>
      </c>
      <c r="G17" t="b">
        <v>1</v>
      </c>
      <c r="H17" t="s">
        <v>334</v>
      </c>
      <c r="I17" t="s">
        <v>335</v>
      </c>
      <c r="J17" t="s">
        <v>329</v>
      </c>
      <c r="L17" t="str">
        <f>IFERROR(_xlfn.XLOOKUP(A17,feature_catalog!A:A,feature_catalog!A:A),"")</f>
        <v>errorLeadToGoal</v>
      </c>
    </row>
    <row r="18" spans="1:12" x14ac:dyDescent="0.4">
      <c r="A18" t="s">
        <v>336</v>
      </c>
      <c r="B18" t="s">
        <v>337</v>
      </c>
      <c r="C18" t="s">
        <v>11</v>
      </c>
      <c r="D18" t="s">
        <v>338</v>
      </c>
      <c r="E18" t="s">
        <v>339</v>
      </c>
      <c r="F18" t="s">
        <v>333</v>
      </c>
      <c r="G18" t="b">
        <v>1</v>
      </c>
      <c r="H18" t="s">
        <v>340</v>
      </c>
      <c r="I18" t="s">
        <v>341</v>
      </c>
      <c r="J18" t="s">
        <v>336</v>
      </c>
      <c r="K18">
        <v>2</v>
      </c>
      <c r="L18" t="str">
        <f>IFERROR(_xlfn.XLOOKUP(A18,feature_catalog!A:A,feature_catalog!A:A),"")</f>
        <v>errorLeadToShot</v>
      </c>
    </row>
    <row r="19" spans="1:12" x14ac:dyDescent="0.4">
      <c r="A19" t="s">
        <v>159</v>
      </c>
      <c r="B19" t="s">
        <v>160</v>
      </c>
      <c r="C19" t="s">
        <v>79</v>
      </c>
      <c r="D19" t="s">
        <v>161</v>
      </c>
      <c r="E19" t="s">
        <v>162</v>
      </c>
      <c r="F19" t="s">
        <v>163</v>
      </c>
      <c r="G19" t="b">
        <v>0</v>
      </c>
      <c r="H19" t="s">
        <v>164</v>
      </c>
      <c r="I19" t="s">
        <v>165</v>
      </c>
      <c r="J19" t="s">
        <v>159</v>
      </c>
      <c r="K19">
        <v>2</v>
      </c>
      <c r="L19" t="str">
        <f>IFERROR(_xlfn.XLOOKUP(A19,feature_catalog!A:A,feature_catalog!A:A),"")</f>
        <v>accuratePassesPercentage</v>
      </c>
    </row>
    <row r="20" spans="1:12" x14ac:dyDescent="0.4">
      <c r="A20" t="s">
        <v>153</v>
      </c>
      <c r="B20" t="s">
        <v>154</v>
      </c>
      <c r="C20" t="s">
        <v>11</v>
      </c>
      <c r="D20" t="s">
        <v>155</v>
      </c>
      <c r="E20" t="s">
        <v>156</v>
      </c>
      <c r="F20" t="s">
        <v>110</v>
      </c>
      <c r="G20" t="b">
        <v>0</v>
      </c>
      <c r="H20" t="s">
        <v>157</v>
      </c>
      <c r="I20" t="s">
        <v>158</v>
      </c>
      <c r="J20" t="s">
        <v>153</v>
      </c>
      <c r="L20" t="str">
        <f>IFERROR(_xlfn.XLOOKUP(A20,feature_catalog!A:A,feature_catalog!A:A),"")</f>
        <v>accuratePasses</v>
      </c>
    </row>
    <row r="21" spans="1:12" x14ac:dyDescent="0.4">
      <c r="A21" t="s">
        <v>173</v>
      </c>
      <c r="B21" t="s">
        <v>174</v>
      </c>
      <c r="C21" t="s">
        <v>79</v>
      </c>
      <c r="D21" t="s">
        <v>175</v>
      </c>
      <c r="E21" t="s">
        <v>176</v>
      </c>
      <c r="F21" t="s">
        <v>170</v>
      </c>
      <c r="G21" t="b">
        <v>0</v>
      </c>
      <c r="H21" t="s">
        <v>177</v>
      </c>
      <c r="I21" t="s">
        <v>178</v>
      </c>
      <c r="J21" t="s">
        <v>173</v>
      </c>
      <c r="L21" t="str">
        <f>IFERROR(_xlfn.XLOOKUP(A21,feature_catalog!A:A,feature_catalog!A:A),"")</f>
        <v>accurateLongBallsPercentage</v>
      </c>
    </row>
    <row r="22" spans="1:12" x14ac:dyDescent="0.4">
      <c r="A22" t="s">
        <v>238</v>
      </c>
      <c r="B22" t="s">
        <v>239</v>
      </c>
      <c r="C22" t="s">
        <v>11</v>
      </c>
      <c r="D22" t="s">
        <v>240</v>
      </c>
      <c r="E22" t="s">
        <v>241</v>
      </c>
      <c r="F22" t="s">
        <v>242</v>
      </c>
      <c r="G22" t="b">
        <v>1</v>
      </c>
      <c r="H22" t="s">
        <v>243</v>
      </c>
      <c r="I22" t="s">
        <v>244</v>
      </c>
      <c r="J22" t="s">
        <v>238</v>
      </c>
      <c r="K22">
        <v>2</v>
      </c>
      <c r="L22" t="str">
        <f>IFERROR(_xlfn.XLOOKUP(A22,feature_catalog!A:A,feature_catalog!A:A),"")</f>
        <v>possessionLost</v>
      </c>
    </row>
    <row r="23" spans="1:12" x14ac:dyDescent="0.4">
      <c r="A23" t="s">
        <v>245</v>
      </c>
      <c r="B23" t="s">
        <v>246</v>
      </c>
      <c r="C23" t="s">
        <v>11</v>
      </c>
      <c r="D23" t="s">
        <v>247</v>
      </c>
      <c r="E23" t="s">
        <v>248</v>
      </c>
      <c r="F23" t="s">
        <v>249</v>
      </c>
      <c r="G23" t="b">
        <v>0</v>
      </c>
      <c r="H23" t="s">
        <v>250</v>
      </c>
      <c r="I23" t="s">
        <v>251</v>
      </c>
      <c r="J23" t="s">
        <v>245</v>
      </c>
      <c r="L23" t="str">
        <f>IFERROR(_xlfn.XLOOKUP(A23,feature_catalog!A:A,feature_catalog!A:A),"")</f>
        <v>possessionWonAttThird</v>
      </c>
    </row>
    <row r="24" spans="1:12" x14ac:dyDescent="0.4">
      <c r="A24" t="s">
        <v>294</v>
      </c>
      <c r="B24" t="s">
        <v>295</v>
      </c>
      <c r="C24" t="s">
        <v>11</v>
      </c>
      <c r="D24" t="s">
        <v>296</v>
      </c>
      <c r="E24" t="s">
        <v>297</v>
      </c>
      <c r="F24" t="s">
        <v>298</v>
      </c>
      <c r="G24" t="b">
        <v>0</v>
      </c>
      <c r="H24" t="s">
        <v>299</v>
      </c>
      <c r="I24" t="s">
        <v>300</v>
      </c>
      <c r="J24" t="s">
        <v>294</v>
      </c>
      <c r="L24" t="str">
        <f>IFERROR(_xlfn.XLOOKUP(A24,feature_catalog!A:A,feature_catalog!A:A),"")</f>
        <v/>
      </c>
    </row>
    <row r="25" spans="1:12" x14ac:dyDescent="0.4">
      <c r="A25" t="s">
        <v>572</v>
      </c>
      <c r="B25" t="s">
        <v>573</v>
      </c>
      <c r="C25" t="s">
        <v>486</v>
      </c>
      <c r="D25" t="s">
        <v>574</v>
      </c>
      <c r="E25" t="s">
        <v>575</v>
      </c>
      <c r="F25" t="s">
        <v>489</v>
      </c>
      <c r="G25" t="b">
        <v>0</v>
      </c>
      <c r="H25" t="s">
        <v>576</v>
      </c>
      <c r="I25" t="s">
        <v>577</v>
      </c>
      <c r="J25" t="s">
        <v>572</v>
      </c>
      <c r="L25" t="str">
        <f>IFERROR(_xlfn.XLOOKUP(A25,feature_catalog!A:A,feature_catalog!A:A),"")</f>
        <v>averageX</v>
      </c>
    </row>
    <row r="26" spans="1:12" x14ac:dyDescent="0.4">
      <c r="A26" t="s">
        <v>578</v>
      </c>
      <c r="B26" t="s">
        <v>579</v>
      </c>
      <c r="C26" t="s">
        <v>486</v>
      </c>
      <c r="D26" t="s">
        <v>580</v>
      </c>
      <c r="E26" t="s">
        <v>581</v>
      </c>
      <c r="F26" t="s">
        <v>489</v>
      </c>
      <c r="G26" t="b">
        <v>0</v>
      </c>
      <c r="H26" t="s">
        <v>582</v>
      </c>
      <c r="I26" t="s">
        <v>583</v>
      </c>
      <c r="J26" t="s">
        <v>578</v>
      </c>
      <c r="L26" t="str">
        <f>IFERROR(_xlfn.XLOOKUP(A26,feature_catalog!A:A,feature_catalog!A:A),"")</f>
        <v>averageY</v>
      </c>
    </row>
    <row r="27" spans="1:12" x14ac:dyDescent="0.4">
      <c r="A27" t="s">
        <v>484</v>
      </c>
      <c r="B27" t="s">
        <v>485</v>
      </c>
      <c r="C27" t="s">
        <v>486</v>
      </c>
      <c r="D27" t="s">
        <v>487</v>
      </c>
      <c r="E27" t="s">
        <v>488</v>
      </c>
      <c r="F27" t="s">
        <v>489</v>
      </c>
      <c r="G27" t="b">
        <v>0</v>
      </c>
      <c r="H27" t="s">
        <v>490</v>
      </c>
      <c r="I27" t="s">
        <v>491</v>
      </c>
      <c r="J27" t="s">
        <v>484</v>
      </c>
      <c r="L27" t="str">
        <f>IFERROR(_xlfn.XLOOKUP(A27,feature_catalog!A:A,feature_catalog!A:A),"")</f>
        <v>rating</v>
      </c>
    </row>
    <row r="28" spans="1:12" x14ac:dyDescent="0.4">
      <c r="L28">
        <f>IFERROR(_xlfn.XLOOKUP(A28,feature_catalog!A:A,feature_catalog!A:A),"")</f>
        <v>0</v>
      </c>
    </row>
    <row r="29" spans="1:12" x14ac:dyDescent="0.4">
      <c r="L29">
        <f>IFERROR(_xlfn.XLOOKUP(A29,feature_catalog!A:A,feature_catalog!A:A),"")</f>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D0253-BD04-4A38-AA2F-B18C3D01DDD0}">
  <dimension ref="A1:L28"/>
  <sheetViews>
    <sheetView topLeftCell="F1" workbookViewId="0">
      <pane ySplit="1" topLeftCell="A9" activePane="bottomLeft" state="frozen"/>
      <selection pane="bottomLeft" activeCell="L1" sqref="L1:L1048576"/>
    </sheetView>
  </sheetViews>
  <sheetFormatPr baseColWidth="10" defaultRowHeight="14.6" x14ac:dyDescent="0.4"/>
  <cols>
    <col min="1" max="1" width="25" bestFit="1" customWidth="1"/>
    <col min="2" max="2" width="16.84375" bestFit="1" customWidth="1"/>
    <col min="3" max="3" width="4.4609375" bestFit="1" customWidth="1"/>
    <col min="4" max="4" width="234.3046875" bestFit="1" customWidth="1"/>
    <col min="5" max="5" width="148.3828125" bestFit="1" customWidth="1"/>
    <col min="6" max="6" width="20.15234375" bestFit="1" customWidth="1"/>
    <col min="7" max="7" width="7.765625" bestFit="1" customWidth="1"/>
    <col min="8" max="8" width="20.84375" bestFit="1" customWidth="1"/>
    <col min="9" max="9" width="18.4609375" bestFit="1" customWidth="1"/>
    <col min="10" max="10" width="25" bestFit="1" customWidth="1"/>
    <col min="11" max="11" width="25" customWidth="1"/>
  </cols>
  <sheetData>
    <row r="1" spans="1:12" x14ac:dyDescent="0.4">
      <c r="A1" s="9" t="s">
        <v>0</v>
      </c>
      <c r="B1" s="9" t="s">
        <v>1</v>
      </c>
      <c r="C1" s="9" t="s">
        <v>2</v>
      </c>
      <c r="D1" s="9" t="s">
        <v>3</v>
      </c>
      <c r="E1" s="9" t="s">
        <v>4</v>
      </c>
      <c r="F1" s="9" t="s">
        <v>5</v>
      </c>
      <c r="G1" s="9" t="s">
        <v>6</v>
      </c>
      <c r="H1" s="9" t="s">
        <v>7</v>
      </c>
      <c r="I1" s="9" t="s">
        <v>8</v>
      </c>
      <c r="J1" s="9" t="s">
        <v>0</v>
      </c>
      <c r="K1" s="9" t="s">
        <v>645</v>
      </c>
    </row>
    <row r="2" spans="1:12" x14ac:dyDescent="0.4">
      <c r="A2" t="s">
        <v>245</v>
      </c>
      <c r="B2" t="s">
        <v>246</v>
      </c>
      <c r="C2" t="s">
        <v>11</v>
      </c>
      <c r="D2" t="s">
        <v>247</v>
      </c>
      <c r="E2" t="s">
        <v>248</v>
      </c>
      <c r="F2" t="s">
        <v>249</v>
      </c>
      <c r="G2" t="b">
        <v>0</v>
      </c>
      <c r="H2" t="s">
        <v>250</v>
      </c>
      <c r="I2" t="s">
        <v>251</v>
      </c>
      <c r="J2" t="s">
        <v>245</v>
      </c>
      <c r="L2" t="str">
        <f>IFERROR(_xlfn.XLOOKUP(A2,feature_catalog!A:A,feature_catalog!A:A),"")</f>
        <v>possessionWonAttThird</v>
      </c>
    </row>
    <row r="3" spans="1:12" x14ac:dyDescent="0.4">
      <c r="A3" t="s">
        <v>258</v>
      </c>
      <c r="B3" t="s">
        <v>259</v>
      </c>
      <c r="C3" t="s">
        <v>11</v>
      </c>
      <c r="D3" t="s">
        <v>260</v>
      </c>
      <c r="E3" t="s">
        <v>261</v>
      </c>
      <c r="F3" t="s">
        <v>262</v>
      </c>
      <c r="G3" t="b">
        <v>0</v>
      </c>
      <c r="H3" t="s">
        <v>263</v>
      </c>
      <c r="I3" t="s">
        <v>264</v>
      </c>
      <c r="J3" t="s">
        <v>258</v>
      </c>
      <c r="K3">
        <v>2</v>
      </c>
      <c r="L3" t="str">
        <f>IFERROR(_xlfn.XLOOKUP(A3,feature_catalog!A:A,feature_catalog!A:A),"")</f>
        <v>ballRecovery</v>
      </c>
    </row>
    <row r="4" spans="1:12" x14ac:dyDescent="0.4">
      <c r="A4" t="s">
        <v>364</v>
      </c>
      <c r="B4" t="s">
        <v>365</v>
      </c>
      <c r="C4" t="s">
        <v>11</v>
      </c>
      <c r="D4" t="s">
        <v>366</v>
      </c>
      <c r="E4" t="s">
        <v>367</v>
      </c>
      <c r="F4" t="s">
        <v>349</v>
      </c>
      <c r="G4" t="b">
        <v>0</v>
      </c>
      <c r="H4" t="s">
        <v>368</v>
      </c>
      <c r="I4" t="s">
        <v>369</v>
      </c>
      <c r="J4" t="s">
        <v>364</v>
      </c>
      <c r="K4">
        <v>1</v>
      </c>
      <c r="L4" t="str">
        <f>IFERROR(_xlfn.XLOOKUP(A4,feature_catalog!A:A,feature_catalog!A:A),"")</f>
        <v>interceptions</v>
      </c>
    </row>
    <row r="5" spans="1:12" x14ac:dyDescent="0.4">
      <c r="A5" t="s">
        <v>345</v>
      </c>
      <c r="B5" t="s">
        <v>346</v>
      </c>
      <c r="C5" t="s">
        <v>11</v>
      </c>
      <c r="D5" t="s">
        <v>347</v>
      </c>
      <c r="E5" t="s">
        <v>348</v>
      </c>
      <c r="F5" t="s">
        <v>349</v>
      </c>
      <c r="G5" t="b">
        <v>0</v>
      </c>
      <c r="H5" t="s">
        <v>350</v>
      </c>
      <c r="I5" t="s">
        <v>351</v>
      </c>
      <c r="J5" t="s">
        <v>345</v>
      </c>
      <c r="K5">
        <v>2</v>
      </c>
      <c r="L5" t="str">
        <f>IFERROR(_xlfn.XLOOKUP(A5,feature_catalog!A:A,feature_catalog!A:A),"")</f>
        <v>tackles</v>
      </c>
    </row>
    <row r="6" spans="1:12" x14ac:dyDescent="0.4">
      <c r="A6" t="s">
        <v>352</v>
      </c>
      <c r="B6" t="s">
        <v>353</v>
      </c>
      <c r="C6" t="s">
        <v>11</v>
      </c>
      <c r="D6" t="s">
        <v>354</v>
      </c>
      <c r="E6" t="s">
        <v>355</v>
      </c>
      <c r="F6" t="s">
        <v>349</v>
      </c>
      <c r="G6" t="b">
        <v>0</v>
      </c>
      <c r="H6" t="s">
        <v>356</v>
      </c>
      <c r="I6" t="s">
        <v>357</v>
      </c>
      <c r="J6" t="s">
        <v>352</v>
      </c>
      <c r="K6">
        <v>1</v>
      </c>
      <c r="L6" t="str">
        <f>IFERROR(_xlfn.XLOOKUP(A6,feature_catalog!A:A,feature_catalog!A:A),"")</f>
        <v>tacklesWon</v>
      </c>
    </row>
    <row r="7" spans="1:12" x14ac:dyDescent="0.4">
      <c r="A7" t="s">
        <v>358</v>
      </c>
      <c r="B7" t="s">
        <v>359</v>
      </c>
      <c r="C7" t="s">
        <v>79</v>
      </c>
      <c r="D7" t="s">
        <v>360</v>
      </c>
      <c r="E7" t="s">
        <v>361</v>
      </c>
      <c r="F7" t="s">
        <v>349</v>
      </c>
      <c r="G7" t="b">
        <v>0</v>
      </c>
      <c r="H7" t="s">
        <v>362</v>
      </c>
      <c r="I7" t="s">
        <v>363</v>
      </c>
      <c r="J7" t="s">
        <v>358</v>
      </c>
      <c r="L7" t="str">
        <f>IFERROR(_xlfn.XLOOKUP(A7,feature_catalog!A:A,feature_catalog!A:A),"")</f>
        <v>_tackle_success_pct</v>
      </c>
    </row>
    <row r="8" spans="1:12" x14ac:dyDescent="0.4">
      <c r="A8" t="s">
        <v>418</v>
      </c>
      <c r="B8" t="s">
        <v>419</v>
      </c>
      <c r="C8" t="s">
        <v>79</v>
      </c>
      <c r="D8" t="s">
        <v>420</v>
      </c>
      <c r="E8" t="s">
        <v>421</v>
      </c>
      <c r="F8" t="s">
        <v>415</v>
      </c>
      <c r="G8" t="b">
        <v>0</v>
      </c>
      <c r="H8" t="s">
        <v>422</v>
      </c>
      <c r="I8" t="s">
        <v>423</v>
      </c>
      <c r="J8" t="s">
        <v>418</v>
      </c>
      <c r="K8">
        <v>2</v>
      </c>
      <c r="L8" t="str">
        <f>IFERROR(_xlfn.XLOOKUP(A8,feature_catalog!A:A,feature_catalog!A:A),"")</f>
        <v>groundDuelsWonPercentage</v>
      </c>
    </row>
    <row r="9" spans="1:12" x14ac:dyDescent="0.4">
      <c r="A9" t="s">
        <v>411</v>
      </c>
      <c r="B9" t="s">
        <v>412</v>
      </c>
      <c r="C9" t="s">
        <v>11</v>
      </c>
      <c r="D9" t="s">
        <v>413</v>
      </c>
      <c r="E9" t="s">
        <v>414</v>
      </c>
      <c r="F9" t="s">
        <v>415</v>
      </c>
      <c r="G9" t="b">
        <v>0</v>
      </c>
      <c r="H9" t="s">
        <v>416</v>
      </c>
      <c r="I9" t="s">
        <v>417</v>
      </c>
      <c r="J9" t="s">
        <v>411</v>
      </c>
      <c r="L9" t="str">
        <f>IFERROR(_xlfn.XLOOKUP(A9,feature_catalog!A:A,feature_catalog!A:A),"")</f>
        <v>groundDuelsWon</v>
      </c>
    </row>
    <row r="10" spans="1:12" x14ac:dyDescent="0.4">
      <c r="A10" t="s">
        <v>431</v>
      </c>
      <c r="B10" t="s">
        <v>432</v>
      </c>
      <c r="C10" t="s">
        <v>79</v>
      </c>
      <c r="D10" t="s">
        <v>433</v>
      </c>
      <c r="E10" t="s">
        <v>434</v>
      </c>
      <c r="F10" t="s">
        <v>435</v>
      </c>
      <c r="G10" t="b">
        <v>0</v>
      </c>
      <c r="H10" t="s">
        <v>436</v>
      </c>
      <c r="I10" t="s">
        <v>437</v>
      </c>
      <c r="J10" t="s">
        <v>431</v>
      </c>
      <c r="K10">
        <v>1</v>
      </c>
      <c r="L10" t="str">
        <f>IFERROR(_xlfn.XLOOKUP(A10,feature_catalog!A:A,feature_catalog!A:A),"")</f>
        <v>aerialDuelsWonPercentage</v>
      </c>
    </row>
    <row r="11" spans="1:12" x14ac:dyDescent="0.4">
      <c r="A11" t="s">
        <v>424</v>
      </c>
      <c r="B11" t="s">
        <v>425</v>
      </c>
      <c r="C11" t="s">
        <v>11</v>
      </c>
      <c r="D11" t="s">
        <v>426</v>
      </c>
      <c r="E11" t="s">
        <v>427</v>
      </c>
      <c r="F11" t="s">
        <v>428</v>
      </c>
      <c r="G11" t="b">
        <v>0</v>
      </c>
      <c r="H11" t="s">
        <v>429</v>
      </c>
      <c r="I11" t="s">
        <v>430</v>
      </c>
      <c r="J11" t="s">
        <v>424</v>
      </c>
      <c r="L11" t="str">
        <f>IFERROR(_xlfn.XLOOKUP(A11,feature_catalog!A:A,feature_catalog!A:A),"")</f>
        <v>aerialDuelsWon</v>
      </c>
    </row>
    <row r="12" spans="1:12" x14ac:dyDescent="0.4">
      <c r="A12" t="s">
        <v>404</v>
      </c>
      <c r="B12" t="s">
        <v>405</v>
      </c>
      <c r="C12" t="s">
        <v>79</v>
      </c>
      <c r="D12" t="s">
        <v>406</v>
      </c>
      <c r="E12" t="s">
        <v>407</v>
      </c>
      <c r="F12" t="s">
        <v>408</v>
      </c>
      <c r="G12" t="b">
        <v>0</v>
      </c>
      <c r="H12" t="s">
        <v>409</v>
      </c>
      <c r="I12" t="s">
        <v>410</v>
      </c>
      <c r="J12" t="s">
        <v>404</v>
      </c>
      <c r="L12" t="str">
        <f>IFERROR(_xlfn.XLOOKUP(A12,feature_catalog!A:A,feature_catalog!A:A),"")</f>
        <v>_duels_won_pct</v>
      </c>
    </row>
    <row r="13" spans="1:12" x14ac:dyDescent="0.4">
      <c r="A13" t="s">
        <v>397</v>
      </c>
      <c r="B13" t="s">
        <v>398</v>
      </c>
      <c r="C13" t="s">
        <v>11</v>
      </c>
      <c r="D13" t="s">
        <v>399</v>
      </c>
      <c r="E13" t="s">
        <v>400</v>
      </c>
      <c r="F13" t="s">
        <v>401</v>
      </c>
      <c r="G13" t="b">
        <v>0</v>
      </c>
      <c r="H13" t="s">
        <v>402</v>
      </c>
      <c r="I13" t="s">
        <v>403</v>
      </c>
      <c r="J13" t="s">
        <v>397</v>
      </c>
      <c r="L13" t="str">
        <f>IFERROR(_xlfn.XLOOKUP(A13,feature_catalog!A:A,feature_catalog!A:A),"")</f>
        <v>_duels_won_p90</v>
      </c>
    </row>
    <row r="14" spans="1:12" x14ac:dyDescent="0.4">
      <c r="A14" t="s">
        <v>268</v>
      </c>
      <c r="B14" t="s">
        <v>269</v>
      </c>
      <c r="C14" t="s">
        <v>11</v>
      </c>
      <c r="D14" t="s">
        <v>270</v>
      </c>
      <c r="E14" t="s">
        <v>271</v>
      </c>
      <c r="F14" t="s">
        <v>272</v>
      </c>
      <c r="G14" t="b">
        <v>1</v>
      </c>
      <c r="H14" t="s">
        <v>273</v>
      </c>
      <c r="I14" t="s">
        <v>274</v>
      </c>
      <c r="J14" t="s">
        <v>268</v>
      </c>
      <c r="K14">
        <v>1.5</v>
      </c>
      <c r="L14" t="str">
        <f>IFERROR(_xlfn.XLOOKUP(A14,feature_catalog!A:A,feature_catalog!A:A),"")</f>
        <v>dribbledPast</v>
      </c>
    </row>
    <row r="15" spans="1:12" x14ac:dyDescent="0.4">
      <c r="A15" t="s">
        <v>302</v>
      </c>
      <c r="B15" t="s">
        <v>303</v>
      </c>
      <c r="C15" t="s">
        <v>11</v>
      </c>
      <c r="D15" t="s">
        <v>304</v>
      </c>
      <c r="E15" t="s">
        <v>305</v>
      </c>
      <c r="F15" t="s">
        <v>306</v>
      </c>
      <c r="G15" t="b">
        <v>1</v>
      </c>
      <c r="H15" t="s">
        <v>307</v>
      </c>
      <c r="I15" t="s">
        <v>308</v>
      </c>
      <c r="J15" t="s">
        <v>302</v>
      </c>
      <c r="L15" t="str">
        <f>IFERROR(_xlfn.XLOOKUP(A15,feature_catalog!A:A,feature_catalog!A:A),"")</f>
        <v>fouls</v>
      </c>
    </row>
    <row r="16" spans="1:12" x14ac:dyDescent="0.4">
      <c r="A16" t="s">
        <v>252</v>
      </c>
      <c r="B16" t="s">
        <v>253</v>
      </c>
      <c r="C16" t="s">
        <v>11</v>
      </c>
      <c r="D16" t="s">
        <v>254</v>
      </c>
      <c r="E16" t="s">
        <v>255</v>
      </c>
      <c r="F16" t="s">
        <v>49</v>
      </c>
      <c r="G16" t="b">
        <v>0</v>
      </c>
      <c r="H16" t="s">
        <v>256</v>
      </c>
      <c r="I16" t="s">
        <v>257</v>
      </c>
      <c r="J16" t="s">
        <v>252</v>
      </c>
      <c r="L16" t="str">
        <f>IFERROR(_xlfn.XLOOKUP(A16,feature_catalog!A:A,feature_catalog!A:A),"")</f>
        <v>wasFouled</v>
      </c>
    </row>
    <row r="17" spans="1:12" x14ac:dyDescent="0.4">
      <c r="A17" t="s">
        <v>370</v>
      </c>
      <c r="B17" t="s">
        <v>371</v>
      </c>
      <c r="C17" t="s">
        <v>11</v>
      </c>
      <c r="D17" t="s">
        <v>372</v>
      </c>
      <c r="E17" t="s">
        <v>373</v>
      </c>
      <c r="F17" t="s">
        <v>374</v>
      </c>
      <c r="G17" t="b">
        <v>0</v>
      </c>
      <c r="H17" t="s">
        <v>375</v>
      </c>
      <c r="I17" t="s">
        <v>376</v>
      </c>
      <c r="J17" t="s">
        <v>370</v>
      </c>
      <c r="L17" t="str">
        <f>IFERROR(_xlfn.XLOOKUP(A17,feature_catalog!A:A,feature_catalog!A:A),"")</f>
        <v>clearances</v>
      </c>
    </row>
    <row r="18" spans="1:12" x14ac:dyDescent="0.4">
      <c r="A18" t="s">
        <v>384</v>
      </c>
      <c r="B18" t="s">
        <v>385</v>
      </c>
      <c r="C18" t="s">
        <v>11</v>
      </c>
      <c r="D18" t="s">
        <v>386</v>
      </c>
      <c r="E18" t="s">
        <v>387</v>
      </c>
      <c r="F18" t="s">
        <v>388</v>
      </c>
      <c r="G18" t="b">
        <v>0</v>
      </c>
      <c r="H18" t="s">
        <v>389</v>
      </c>
      <c r="I18" t="s">
        <v>390</v>
      </c>
      <c r="J18" t="s">
        <v>384</v>
      </c>
      <c r="L18" t="str">
        <f>IFERROR(_xlfn.XLOOKUP(A18,feature_catalog!A:A,feature_catalog!A:A),"")</f>
        <v>blockedShots</v>
      </c>
    </row>
    <row r="19" spans="1:12" x14ac:dyDescent="0.4">
      <c r="A19" t="s">
        <v>329</v>
      </c>
      <c r="B19" t="s">
        <v>330</v>
      </c>
      <c r="C19" t="s">
        <v>11</v>
      </c>
      <c r="D19" t="s">
        <v>331</v>
      </c>
      <c r="E19" t="s">
        <v>332</v>
      </c>
      <c r="F19" t="s">
        <v>333</v>
      </c>
      <c r="G19" t="b">
        <v>1</v>
      </c>
      <c r="H19" t="s">
        <v>334</v>
      </c>
      <c r="I19" t="s">
        <v>335</v>
      </c>
      <c r="J19" t="s">
        <v>329</v>
      </c>
      <c r="L19" t="str">
        <f>IFERROR(_xlfn.XLOOKUP(A19,feature_catalog!A:A,feature_catalog!A:A),"")</f>
        <v>errorLeadToGoal</v>
      </c>
    </row>
    <row r="20" spans="1:12" x14ac:dyDescent="0.4">
      <c r="A20" t="s">
        <v>336</v>
      </c>
      <c r="B20" t="s">
        <v>337</v>
      </c>
      <c r="C20" t="s">
        <v>11</v>
      </c>
      <c r="D20" t="s">
        <v>338</v>
      </c>
      <c r="E20" t="s">
        <v>339</v>
      </c>
      <c r="F20" t="s">
        <v>333</v>
      </c>
      <c r="G20" t="b">
        <v>1</v>
      </c>
      <c r="H20" t="s">
        <v>340</v>
      </c>
      <c r="I20" t="s">
        <v>341</v>
      </c>
      <c r="J20" t="s">
        <v>336</v>
      </c>
      <c r="K20">
        <v>2</v>
      </c>
      <c r="L20" t="str">
        <f>IFERROR(_xlfn.XLOOKUP(A20,feature_catalog!A:A,feature_catalog!A:A),"")</f>
        <v>errorLeadToShot</v>
      </c>
    </row>
    <row r="21" spans="1:12" x14ac:dyDescent="0.4">
      <c r="A21" t="s">
        <v>159</v>
      </c>
      <c r="B21" t="s">
        <v>160</v>
      </c>
      <c r="C21" t="s">
        <v>79</v>
      </c>
      <c r="D21" t="s">
        <v>161</v>
      </c>
      <c r="E21" t="s">
        <v>162</v>
      </c>
      <c r="F21" t="s">
        <v>163</v>
      </c>
      <c r="G21" t="b">
        <v>0</v>
      </c>
      <c r="H21" t="s">
        <v>164</v>
      </c>
      <c r="I21" t="s">
        <v>165</v>
      </c>
      <c r="J21" t="s">
        <v>159</v>
      </c>
      <c r="K21">
        <v>1</v>
      </c>
      <c r="L21" t="str">
        <f>IFERROR(_xlfn.XLOOKUP(A21,feature_catalog!A:A,feature_catalog!A:A),"")</f>
        <v>accuratePassesPercentage</v>
      </c>
    </row>
    <row r="22" spans="1:12" x14ac:dyDescent="0.4">
      <c r="A22" t="s">
        <v>238</v>
      </c>
      <c r="B22" t="s">
        <v>239</v>
      </c>
      <c r="C22" t="s">
        <v>11</v>
      </c>
      <c r="D22" t="s">
        <v>240</v>
      </c>
      <c r="E22" t="s">
        <v>241</v>
      </c>
      <c r="F22" t="s">
        <v>242</v>
      </c>
      <c r="G22" t="b">
        <v>1</v>
      </c>
      <c r="H22" t="s">
        <v>243</v>
      </c>
      <c r="I22" t="s">
        <v>244</v>
      </c>
      <c r="J22" t="s">
        <v>238</v>
      </c>
      <c r="K22">
        <v>1</v>
      </c>
      <c r="L22" t="str">
        <f>IFERROR(_xlfn.XLOOKUP(A22,feature_catalog!A:A,feature_catalog!A:A),"")</f>
        <v>possessionLost</v>
      </c>
    </row>
    <row r="23" spans="1:12" x14ac:dyDescent="0.4">
      <c r="A23" t="s">
        <v>153</v>
      </c>
      <c r="B23" t="s">
        <v>154</v>
      </c>
      <c r="C23" t="s">
        <v>11</v>
      </c>
      <c r="D23" t="s">
        <v>155</v>
      </c>
      <c r="E23" t="s">
        <v>156</v>
      </c>
      <c r="F23" t="s">
        <v>110</v>
      </c>
      <c r="G23" t="b">
        <v>0</v>
      </c>
      <c r="H23" t="s">
        <v>157</v>
      </c>
      <c r="I23" t="s">
        <v>158</v>
      </c>
      <c r="J23" t="s">
        <v>153</v>
      </c>
      <c r="L23" t="str">
        <f>IFERROR(_xlfn.XLOOKUP(A23,feature_catalog!A:A,feature_catalog!A:A),"")</f>
        <v>accuratePasses</v>
      </c>
    </row>
    <row r="24" spans="1:12" x14ac:dyDescent="0.4">
      <c r="A24" t="s">
        <v>173</v>
      </c>
      <c r="B24" t="s">
        <v>174</v>
      </c>
      <c r="C24" t="s">
        <v>79</v>
      </c>
      <c r="D24" t="s">
        <v>175</v>
      </c>
      <c r="E24" t="s">
        <v>176</v>
      </c>
      <c r="F24" t="s">
        <v>170</v>
      </c>
      <c r="G24" t="b">
        <v>0</v>
      </c>
      <c r="H24" t="s">
        <v>177</v>
      </c>
      <c r="I24" t="s">
        <v>178</v>
      </c>
      <c r="J24" t="s">
        <v>173</v>
      </c>
      <c r="L24" t="str">
        <f>IFERROR(_xlfn.XLOOKUP(A24,feature_catalog!A:A,feature_catalog!A:A),"")</f>
        <v>accurateLongBallsPercentage</v>
      </c>
    </row>
    <row r="25" spans="1:12" x14ac:dyDescent="0.4">
      <c r="A25" t="s">
        <v>572</v>
      </c>
      <c r="B25" t="s">
        <v>573</v>
      </c>
      <c r="C25" t="s">
        <v>486</v>
      </c>
      <c r="D25" t="s">
        <v>574</v>
      </c>
      <c r="E25" t="s">
        <v>575</v>
      </c>
      <c r="F25" t="s">
        <v>489</v>
      </c>
      <c r="G25" t="b">
        <v>0</v>
      </c>
      <c r="H25" t="s">
        <v>576</v>
      </c>
      <c r="I25" t="s">
        <v>577</v>
      </c>
      <c r="J25" t="s">
        <v>572</v>
      </c>
      <c r="L25" t="str">
        <f>IFERROR(_xlfn.XLOOKUP(A25,feature_catalog!A:A,feature_catalog!A:A),"")</f>
        <v>averageX</v>
      </c>
    </row>
    <row r="26" spans="1:12" x14ac:dyDescent="0.4">
      <c r="A26" t="s">
        <v>578</v>
      </c>
      <c r="B26" t="s">
        <v>579</v>
      </c>
      <c r="C26" t="s">
        <v>486</v>
      </c>
      <c r="D26" t="s">
        <v>580</v>
      </c>
      <c r="E26" t="s">
        <v>581</v>
      </c>
      <c r="F26" t="s">
        <v>489</v>
      </c>
      <c r="G26" t="b">
        <v>0</v>
      </c>
      <c r="H26" t="s">
        <v>582</v>
      </c>
      <c r="I26" t="s">
        <v>583</v>
      </c>
      <c r="J26" t="s">
        <v>578</v>
      </c>
      <c r="L26" t="str">
        <f>IFERROR(_xlfn.XLOOKUP(A26,feature_catalog!A:A,feature_catalog!A:A),"")</f>
        <v>averageY</v>
      </c>
    </row>
    <row r="27" spans="1:12" x14ac:dyDescent="0.4">
      <c r="A27" t="s">
        <v>484</v>
      </c>
      <c r="B27" t="s">
        <v>485</v>
      </c>
      <c r="C27" t="s">
        <v>486</v>
      </c>
      <c r="D27" t="s">
        <v>487</v>
      </c>
      <c r="E27" t="s">
        <v>488</v>
      </c>
      <c r="F27" t="s">
        <v>489</v>
      </c>
      <c r="G27" t="b">
        <v>0</v>
      </c>
      <c r="H27" t="s">
        <v>490</v>
      </c>
      <c r="I27" t="s">
        <v>491</v>
      </c>
      <c r="J27" t="s">
        <v>484</v>
      </c>
      <c r="L27" t="str">
        <f>IFERROR(_xlfn.XLOOKUP(A27,feature_catalog!A:A,feature_catalog!A:A),"")</f>
        <v>rating</v>
      </c>
    </row>
    <row r="28" spans="1:12" x14ac:dyDescent="0.4">
      <c r="L28">
        <f>IFERROR(_xlfn.XLOOKUP(A28,feature_catalog!A:A,feature_catalog!A:A),"")</f>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10DAC-3B97-4370-8728-AA50422E32F4}">
  <dimension ref="A1:L28"/>
  <sheetViews>
    <sheetView topLeftCell="F1" workbookViewId="0">
      <pane ySplit="1" topLeftCell="A6" activePane="bottomLeft" state="frozen"/>
      <selection pane="bottomLeft" activeCell="L1" sqref="L1:L1048576"/>
    </sheetView>
  </sheetViews>
  <sheetFormatPr baseColWidth="10" defaultRowHeight="14.6" x14ac:dyDescent="0.4"/>
  <cols>
    <col min="1" max="1" width="25" bestFit="1" customWidth="1"/>
    <col min="2" max="2" width="16.69140625" bestFit="1" customWidth="1"/>
    <col min="3" max="3" width="4.4609375" bestFit="1" customWidth="1"/>
    <col min="4" max="4" width="234.3046875" bestFit="1" customWidth="1"/>
    <col min="5" max="5" width="137.61328125" bestFit="1" customWidth="1"/>
    <col min="6" max="6" width="20.15234375" bestFit="1" customWidth="1"/>
    <col min="7" max="7" width="7.765625" bestFit="1" customWidth="1"/>
    <col min="8" max="8" width="20.69140625" bestFit="1" customWidth="1"/>
    <col min="9" max="9" width="18.3046875" bestFit="1" customWidth="1"/>
    <col min="10" max="10" width="25" bestFit="1" customWidth="1"/>
    <col min="11" max="11" width="25" customWidth="1"/>
  </cols>
  <sheetData>
    <row r="1" spans="1:12" x14ac:dyDescent="0.4">
      <c r="A1" s="9" t="s">
        <v>0</v>
      </c>
      <c r="B1" s="9" t="s">
        <v>1</v>
      </c>
      <c r="C1" s="9" t="s">
        <v>2</v>
      </c>
      <c r="D1" s="9" t="s">
        <v>3</v>
      </c>
      <c r="E1" s="9" t="s">
        <v>4</v>
      </c>
      <c r="F1" s="9" t="s">
        <v>5</v>
      </c>
      <c r="G1" s="9" t="s">
        <v>6</v>
      </c>
      <c r="H1" s="9" t="s">
        <v>7</v>
      </c>
      <c r="I1" s="9" t="s">
        <v>8</v>
      </c>
      <c r="J1" s="9" t="s">
        <v>0</v>
      </c>
      <c r="K1" s="9" t="s">
        <v>645</v>
      </c>
    </row>
    <row r="2" spans="1:12" x14ac:dyDescent="0.4">
      <c r="A2" t="s">
        <v>159</v>
      </c>
      <c r="B2" t="s">
        <v>160</v>
      </c>
      <c r="C2" t="s">
        <v>79</v>
      </c>
      <c r="D2" t="s">
        <v>161</v>
      </c>
      <c r="E2" t="s">
        <v>162</v>
      </c>
      <c r="F2" t="s">
        <v>163</v>
      </c>
      <c r="G2" t="b">
        <v>0</v>
      </c>
      <c r="H2" t="s">
        <v>164</v>
      </c>
      <c r="I2" t="s">
        <v>165</v>
      </c>
      <c r="J2" t="s">
        <v>159</v>
      </c>
      <c r="K2">
        <v>2</v>
      </c>
      <c r="L2" t="str">
        <f>IFERROR(_xlfn.XLOOKUP(A2,feature_catalog!A:A,feature_catalog!A:A),"")</f>
        <v>accuratePassesPercentage</v>
      </c>
    </row>
    <row r="3" spans="1:12" x14ac:dyDescent="0.4">
      <c r="A3" t="s">
        <v>153</v>
      </c>
      <c r="B3" t="s">
        <v>154</v>
      </c>
      <c r="C3" t="s">
        <v>11</v>
      </c>
      <c r="D3" t="s">
        <v>155</v>
      </c>
      <c r="E3" t="s">
        <v>156</v>
      </c>
      <c r="F3" t="s">
        <v>110</v>
      </c>
      <c r="G3" t="b">
        <v>0</v>
      </c>
      <c r="H3" t="s">
        <v>157</v>
      </c>
      <c r="I3" t="s">
        <v>158</v>
      </c>
      <c r="J3" t="s">
        <v>153</v>
      </c>
      <c r="K3">
        <v>1</v>
      </c>
      <c r="L3" t="str">
        <f>IFERROR(_xlfn.XLOOKUP(A3,feature_catalog!A:A,feature_catalog!A:A),"")</f>
        <v>accuratePasses</v>
      </c>
    </row>
    <row r="4" spans="1:12" x14ac:dyDescent="0.4">
      <c r="A4" t="s">
        <v>173</v>
      </c>
      <c r="B4" t="s">
        <v>174</v>
      </c>
      <c r="C4" t="s">
        <v>79</v>
      </c>
      <c r="D4" t="s">
        <v>175</v>
      </c>
      <c r="E4" t="s">
        <v>176</v>
      </c>
      <c r="F4" t="s">
        <v>170</v>
      </c>
      <c r="G4" t="b">
        <v>0</v>
      </c>
      <c r="H4" t="s">
        <v>177</v>
      </c>
      <c r="I4" t="s">
        <v>178</v>
      </c>
      <c r="J4" t="s">
        <v>173</v>
      </c>
      <c r="K4">
        <v>2</v>
      </c>
      <c r="L4" t="str">
        <f>IFERROR(_xlfn.XLOOKUP(A4,feature_catalog!A:A,feature_catalog!A:A),"")</f>
        <v>accurateLongBallsPercentage</v>
      </c>
    </row>
    <row r="5" spans="1:12" x14ac:dyDescent="0.4">
      <c r="A5" t="s">
        <v>166</v>
      </c>
      <c r="B5" t="s">
        <v>167</v>
      </c>
      <c r="C5" t="s">
        <v>11</v>
      </c>
      <c r="D5" t="s">
        <v>168</v>
      </c>
      <c r="E5" t="s">
        <v>169</v>
      </c>
      <c r="F5" t="s">
        <v>170</v>
      </c>
      <c r="G5" t="b">
        <v>0</v>
      </c>
      <c r="H5" t="s">
        <v>171</v>
      </c>
      <c r="I5" t="s">
        <v>172</v>
      </c>
      <c r="J5" t="s">
        <v>166</v>
      </c>
      <c r="L5" t="str">
        <f>IFERROR(_xlfn.XLOOKUP(A5,feature_catalog!A:A,feature_catalog!A:A),"")</f>
        <v>accurateLongBalls</v>
      </c>
    </row>
    <row r="6" spans="1:12" x14ac:dyDescent="0.4">
      <c r="A6" t="s">
        <v>106</v>
      </c>
      <c r="B6" t="s">
        <v>107</v>
      </c>
      <c r="C6" t="s">
        <v>11</v>
      </c>
      <c r="D6" t="s">
        <v>108</v>
      </c>
      <c r="E6" t="s">
        <v>109</v>
      </c>
      <c r="F6" t="s">
        <v>110</v>
      </c>
      <c r="G6" t="b">
        <v>0</v>
      </c>
      <c r="H6" t="s">
        <v>111</v>
      </c>
      <c r="I6" t="s">
        <v>112</v>
      </c>
      <c r="J6" t="s">
        <v>106</v>
      </c>
      <c r="L6" t="str">
        <f>IFERROR(_xlfn.XLOOKUP(A6,feature_catalog!A:A,feature_catalog!A:A),"")</f>
        <v>accurateFinalThirdPasses</v>
      </c>
    </row>
    <row r="7" spans="1:12" x14ac:dyDescent="0.4">
      <c r="A7" t="s">
        <v>139</v>
      </c>
      <c r="B7" t="s">
        <v>140</v>
      </c>
      <c r="C7" t="s">
        <v>11</v>
      </c>
      <c r="D7" t="s">
        <v>141</v>
      </c>
      <c r="E7" t="s">
        <v>142</v>
      </c>
      <c r="F7" t="s">
        <v>143</v>
      </c>
      <c r="G7" t="b">
        <v>0</v>
      </c>
      <c r="H7" t="s">
        <v>144</v>
      </c>
      <c r="I7" t="s">
        <v>145</v>
      </c>
      <c r="J7" t="s">
        <v>139</v>
      </c>
      <c r="L7" t="str">
        <f>IFERROR(_xlfn.XLOOKUP(A7,feature_catalog!A:A,feature_catalog!A:A),"")</f>
        <v/>
      </c>
    </row>
    <row r="8" spans="1:12" x14ac:dyDescent="0.4">
      <c r="A8" t="s">
        <v>125</v>
      </c>
      <c r="B8" t="s">
        <v>126</v>
      </c>
      <c r="C8" t="s">
        <v>11</v>
      </c>
      <c r="D8" t="s">
        <v>127</v>
      </c>
      <c r="E8" t="s">
        <v>128</v>
      </c>
      <c r="F8" t="s">
        <v>129</v>
      </c>
      <c r="G8" t="b">
        <v>0</v>
      </c>
      <c r="H8" t="s">
        <v>130</v>
      </c>
      <c r="I8" t="s">
        <v>131</v>
      </c>
      <c r="J8" t="s">
        <v>125</v>
      </c>
      <c r="L8" t="str">
        <f>IFERROR(_xlfn.XLOOKUP(A8,feature_catalog!A:A,feature_catalog!A:A),"")</f>
        <v>keyPasses</v>
      </c>
    </row>
    <row r="9" spans="1:12" x14ac:dyDescent="0.4">
      <c r="A9" t="s">
        <v>113</v>
      </c>
      <c r="B9" t="s">
        <v>114</v>
      </c>
      <c r="C9" t="s">
        <v>11</v>
      </c>
      <c r="D9" t="s">
        <v>115</v>
      </c>
      <c r="E9" t="s">
        <v>116</v>
      </c>
      <c r="F9" t="s">
        <v>96</v>
      </c>
      <c r="G9" t="b">
        <v>0</v>
      </c>
      <c r="H9" t="s">
        <v>117</v>
      </c>
      <c r="I9" t="s">
        <v>118</v>
      </c>
      <c r="J9" t="s">
        <v>113</v>
      </c>
      <c r="L9" t="str">
        <f>IFERROR(_xlfn.XLOOKUP(A9,feature_catalog!A:A,feature_catalog!A:A),"")</f>
        <v>expectedAssists</v>
      </c>
    </row>
    <row r="10" spans="1:12" x14ac:dyDescent="0.4">
      <c r="A10" t="s">
        <v>38</v>
      </c>
      <c r="B10" t="s">
        <v>39</v>
      </c>
      <c r="C10" t="s">
        <v>11</v>
      </c>
      <c r="D10" t="s">
        <v>40</v>
      </c>
      <c r="E10" t="s">
        <v>41</v>
      </c>
      <c r="F10" t="s">
        <v>42</v>
      </c>
      <c r="G10" t="b">
        <v>0</v>
      </c>
      <c r="H10" t="s">
        <v>43</v>
      </c>
      <c r="I10" t="s">
        <v>44</v>
      </c>
      <c r="J10" t="s">
        <v>38</v>
      </c>
      <c r="K10">
        <v>1</v>
      </c>
      <c r="L10" t="str">
        <f>IFERROR(_xlfn.XLOOKUP(A10,feature_catalog!A:A,feature_catalog!A:A),"")</f>
        <v>xGBuildup_us</v>
      </c>
    </row>
    <row r="11" spans="1:12" x14ac:dyDescent="0.4">
      <c r="A11" t="s">
        <v>31</v>
      </c>
      <c r="B11" t="s">
        <v>32</v>
      </c>
      <c r="C11" t="s">
        <v>11</v>
      </c>
      <c r="D11" t="s">
        <v>33</v>
      </c>
      <c r="E11" t="s">
        <v>34</v>
      </c>
      <c r="F11" t="s">
        <v>35</v>
      </c>
      <c r="G11" t="b">
        <v>0</v>
      </c>
      <c r="H11" t="s">
        <v>36</v>
      </c>
      <c r="I11" t="s">
        <v>37</v>
      </c>
      <c r="J11" t="s">
        <v>31</v>
      </c>
      <c r="K11">
        <v>1</v>
      </c>
      <c r="L11" t="str">
        <f>IFERROR(_xlfn.XLOOKUP(A11,feature_catalog!A:A,feature_catalog!A:A),"")</f>
        <v>xGChain_us</v>
      </c>
    </row>
    <row r="12" spans="1:12" x14ac:dyDescent="0.4">
      <c r="A12" t="s">
        <v>132</v>
      </c>
      <c r="B12" t="s">
        <v>133</v>
      </c>
      <c r="C12" t="s">
        <v>11</v>
      </c>
      <c r="D12" t="s">
        <v>134</v>
      </c>
      <c r="E12" t="s">
        <v>135</v>
      </c>
      <c r="F12" t="s">
        <v>136</v>
      </c>
      <c r="G12" t="b">
        <v>0</v>
      </c>
      <c r="H12" t="s">
        <v>137</v>
      </c>
      <c r="I12" t="s">
        <v>138</v>
      </c>
      <c r="J12" t="s">
        <v>132</v>
      </c>
      <c r="L12" t="str">
        <f>IFERROR(_xlfn.XLOOKUP(A12,feature_catalog!A:A,feature_catalog!A:A),"")</f>
        <v>bigChancesCreated</v>
      </c>
    </row>
    <row r="13" spans="1:12" x14ac:dyDescent="0.4">
      <c r="A13" t="s">
        <v>92</v>
      </c>
      <c r="B13" t="s">
        <v>93</v>
      </c>
      <c r="C13" t="s">
        <v>11</v>
      </c>
      <c r="D13" t="s">
        <v>94</v>
      </c>
      <c r="E13" t="s">
        <v>95</v>
      </c>
      <c r="F13" t="s">
        <v>96</v>
      </c>
      <c r="G13" t="b">
        <v>0</v>
      </c>
      <c r="H13" t="s">
        <v>97</v>
      </c>
      <c r="I13" t="s">
        <v>98</v>
      </c>
      <c r="J13" t="s">
        <v>92</v>
      </c>
      <c r="L13" t="str">
        <f>IFERROR(_xlfn.XLOOKUP(A13,feature_catalog!A:A,feature_catalog!A:A),"")</f>
        <v>assists</v>
      </c>
    </row>
    <row r="14" spans="1:12" x14ac:dyDescent="0.4">
      <c r="A14" t="s">
        <v>238</v>
      </c>
      <c r="B14" t="s">
        <v>239</v>
      </c>
      <c r="C14" t="s">
        <v>11</v>
      </c>
      <c r="D14" t="s">
        <v>240</v>
      </c>
      <c r="E14" t="s">
        <v>241</v>
      </c>
      <c r="F14" t="s">
        <v>242</v>
      </c>
      <c r="G14" t="b">
        <v>1</v>
      </c>
      <c r="H14" t="s">
        <v>243</v>
      </c>
      <c r="I14" t="s">
        <v>244</v>
      </c>
      <c r="J14" t="s">
        <v>238</v>
      </c>
      <c r="K14">
        <v>2</v>
      </c>
      <c r="L14" t="str">
        <f>IFERROR(_xlfn.XLOOKUP(A14,feature_catalog!A:A,feature_catalog!A:A),"")</f>
        <v>possessionLost</v>
      </c>
    </row>
    <row r="15" spans="1:12" x14ac:dyDescent="0.4">
      <c r="A15" t="s">
        <v>232</v>
      </c>
      <c r="B15" t="s">
        <v>233</v>
      </c>
      <c r="C15" t="s">
        <v>11</v>
      </c>
      <c r="D15" t="s">
        <v>234</v>
      </c>
      <c r="E15" t="s">
        <v>235</v>
      </c>
      <c r="F15" t="s">
        <v>216</v>
      </c>
      <c r="G15" t="b">
        <v>1</v>
      </c>
      <c r="H15" t="s">
        <v>236</v>
      </c>
      <c r="I15" t="s">
        <v>237</v>
      </c>
      <c r="J15" t="s">
        <v>232</v>
      </c>
      <c r="L15" t="str">
        <f>IFERROR(_xlfn.XLOOKUP(A15,feature_catalog!A:A,feature_catalog!A:A),"")</f>
        <v>dispossessed</v>
      </c>
    </row>
    <row r="16" spans="1:12" x14ac:dyDescent="0.4">
      <c r="A16" t="s">
        <v>199</v>
      </c>
      <c r="B16" t="s">
        <v>200</v>
      </c>
      <c r="C16" t="s">
        <v>11</v>
      </c>
      <c r="D16" t="s">
        <v>201</v>
      </c>
      <c r="E16" t="s">
        <v>202</v>
      </c>
      <c r="F16" t="s">
        <v>203</v>
      </c>
      <c r="G16" t="b">
        <v>0</v>
      </c>
      <c r="H16" t="s">
        <v>204</v>
      </c>
      <c r="I16" t="s">
        <v>205</v>
      </c>
      <c r="J16" t="s">
        <v>199</v>
      </c>
      <c r="K16">
        <v>1</v>
      </c>
      <c r="L16" t="str">
        <f>IFERROR(_xlfn.XLOOKUP(A16,feature_catalog!A:A,feature_catalog!A:A),"")</f>
        <v>touches</v>
      </c>
    </row>
    <row r="17" spans="1:12" x14ac:dyDescent="0.4">
      <c r="A17" t="s">
        <v>364</v>
      </c>
      <c r="B17" t="s">
        <v>365</v>
      </c>
      <c r="C17" t="s">
        <v>11</v>
      </c>
      <c r="D17" t="s">
        <v>366</v>
      </c>
      <c r="E17" t="s">
        <v>367</v>
      </c>
      <c r="F17" t="s">
        <v>349</v>
      </c>
      <c r="G17" t="b">
        <v>0</v>
      </c>
      <c r="H17" t="s">
        <v>368</v>
      </c>
      <c r="I17" t="s">
        <v>369</v>
      </c>
      <c r="J17" t="s">
        <v>364</v>
      </c>
      <c r="K17">
        <v>1.5</v>
      </c>
      <c r="L17" t="str">
        <f>IFERROR(_xlfn.XLOOKUP(A17,feature_catalog!A:A,feature_catalog!A:A),"")</f>
        <v>interceptions</v>
      </c>
    </row>
    <row r="18" spans="1:12" x14ac:dyDescent="0.4">
      <c r="A18" t="s">
        <v>258</v>
      </c>
      <c r="B18" t="s">
        <v>259</v>
      </c>
      <c r="C18" t="s">
        <v>11</v>
      </c>
      <c r="D18" t="s">
        <v>260</v>
      </c>
      <c r="E18" t="s">
        <v>261</v>
      </c>
      <c r="F18" t="s">
        <v>262</v>
      </c>
      <c r="G18" t="b">
        <v>0</v>
      </c>
      <c r="H18" t="s">
        <v>263</v>
      </c>
      <c r="I18" t="s">
        <v>264</v>
      </c>
      <c r="J18" t="s">
        <v>258</v>
      </c>
      <c r="K18">
        <v>1</v>
      </c>
      <c r="L18" t="str">
        <f>IFERROR(_xlfn.XLOOKUP(A18,feature_catalog!A:A,feature_catalog!A:A),"")</f>
        <v>ballRecovery</v>
      </c>
    </row>
    <row r="19" spans="1:12" x14ac:dyDescent="0.4">
      <c r="A19" t="s">
        <v>345</v>
      </c>
      <c r="B19" t="s">
        <v>346</v>
      </c>
      <c r="C19" t="s">
        <v>11</v>
      </c>
      <c r="D19" t="s">
        <v>347</v>
      </c>
      <c r="E19" t="s">
        <v>348</v>
      </c>
      <c r="F19" t="s">
        <v>349</v>
      </c>
      <c r="G19" t="b">
        <v>0</v>
      </c>
      <c r="H19" t="s">
        <v>350</v>
      </c>
      <c r="I19" t="s">
        <v>351</v>
      </c>
      <c r="J19" t="s">
        <v>345</v>
      </c>
      <c r="L19" t="str">
        <f>IFERROR(_xlfn.XLOOKUP(A19,feature_catalog!A:A,feature_catalog!A:A),"")</f>
        <v>tackles</v>
      </c>
    </row>
    <row r="20" spans="1:12" x14ac:dyDescent="0.4">
      <c r="A20" t="s">
        <v>358</v>
      </c>
      <c r="B20" t="s">
        <v>359</v>
      </c>
      <c r="C20" t="s">
        <v>79</v>
      </c>
      <c r="D20" t="s">
        <v>360</v>
      </c>
      <c r="E20" t="s">
        <v>361</v>
      </c>
      <c r="F20" t="s">
        <v>349</v>
      </c>
      <c r="G20" t="b">
        <v>0</v>
      </c>
      <c r="H20" t="s">
        <v>362</v>
      </c>
      <c r="I20" t="s">
        <v>363</v>
      </c>
      <c r="J20" t="s">
        <v>358</v>
      </c>
      <c r="L20" t="str">
        <f>IFERROR(_xlfn.XLOOKUP(A20,feature_catalog!A:A,feature_catalog!A:A),"")</f>
        <v>_tackle_success_pct</v>
      </c>
    </row>
    <row r="21" spans="1:12" x14ac:dyDescent="0.4">
      <c r="A21" t="s">
        <v>418</v>
      </c>
      <c r="B21" t="s">
        <v>419</v>
      </c>
      <c r="C21" t="s">
        <v>79</v>
      </c>
      <c r="D21" t="s">
        <v>420</v>
      </c>
      <c r="E21" t="s">
        <v>421</v>
      </c>
      <c r="F21" t="s">
        <v>415</v>
      </c>
      <c r="G21" t="b">
        <v>0</v>
      </c>
      <c r="H21" t="s">
        <v>422</v>
      </c>
      <c r="I21" t="s">
        <v>423</v>
      </c>
      <c r="J21" t="s">
        <v>418</v>
      </c>
      <c r="K21">
        <v>1</v>
      </c>
      <c r="L21" t="str">
        <f>IFERROR(_xlfn.XLOOKUP(A21,feature_catalog!A:A,feature_catalog!A:A),"")</f>
        <v>groundDuelsWonPercentage</v>
      </c>
    </row>
    <row r="22" spans="1:12" x14ac:dyDescent="0.4">
      <c r="A22" t="s">
        <v>268</v>
      </c>
      <c r="B22" t="s">
        <v>269</v>
      </c>
      <c r="C22" t="s">
        <v>11</v>
      </c>
      <c r="D22" t="s">
        <v>270</v>
      </c>
      <c r="E22" t="s">
        <v>271</v>
      </c>
      <c r="F22" t="s">
        <v>272</v>
      </c>
      <c r="G22" t="b">
        <v>1</v>
      </c>
      <c r="H22" t="s">
        <v>273</v>
      </c>
      <c r="I22" t="s">
        <v>274</v>
      </c>
      <c r="J22" t="s">
        <v>268</v>
      </c>
      <c r="K22">
        <v>1</v>
      </c>
      <c r="L22" t="str">
        <f>IFERROR(_xlfn.XLOOKUP(A22,feature_catalog!A:A,feature_catalog!A:A),"")</f>
        <v>dribbledPast</v>
      </c>
    </row>
    <row r="23" spans="1:12" x14ac:dyDescent="0.4">
      <c r="A23" t="s">
        <v>302</v>
      </c>
      <c r="B23" t="s">
        <v>303</v>
      </c>
      <c r="C23" t="s">
        <v>11</v>
      </c>
      <c r="D23" t="s">
        <v>304</v>
      </c>
      <c r="E23" t="s">
        <v>305</v>
      </c>
      <c r="F23" t="s">
        <v>306</v>
      </c>
      <c r="G23" t="b">
        <v>1</v>
      </c>
      <c r="H23" t="s">
        <v>307</v>
      </c>
      <c r="I23" t="s">
        <v>308</v>
      </c>
      <c r="J23" t="s">
        <v>302</v>
      </c>
      <c r="L23" t="str">
        <f>IFERROR(_xlfn.XLOOKUP(A23,feature_catalog!A:A,feature_catalog!A:A),"")</f>
        <v>fouls</v>
      </c>
    </row>
    <row r="24" spans="1:12" x14ac:dyDescent="0.4">
      <c r="A24" t="s">
        <v>329</v>
      </c>
      <c r="B24" t="s">
        <v>330</v>
      </c>
      <c r="C24" t="s">
        <v>11</v>
      </c>
      <c r="D24" t="s">
        <v>331</v>
      </c>
      <c r="E24" t="s">
        <v>332</v>
      </c>
      <c r="F24" t="s">
        <v>333</v>
      </c>
      <c r="G24" t="b">
        <v>1</v>
      </c>
      <c r="H24" t="s">
        <v>334</v>
      </c>
      <c r="I24" t="s">
        <v>335</v>
      </c>
      <c r="J24" t="s">
        <v>329</v>
      </c>
      <c r="L24" t="str">
        <f>IFERROR(_xlfn.XLOOKUP(A24,feature_catalog!A:A,feature_catalog!A:A),"")</f>
        <v>errorLeadToGoal</v>
      </c>
    </row>
    <row r="25" spans="1:12" x14ac:dyDescent="0.4">
      <c r="A25" t="s">
        <v>336</v>
      </c>
      <c r="B25" t="s">
        <v>337</v>
      </c>
      <c r="C25" t="s">
        <v>11</v>
      </c>
      <c r="D25" t="s">
        <v>338</v>
      </c>
      <c r="E25" t="s">
        <v>339</v>
      </c>
      <c r="F25" t="s">
        <v>333</v>
      </c>
      <c r="G25" t="b">
        <v>1</v>
      </c>
      <c r="H25" t="s">
        <v>340</v>
      </c>
      <c r="I25" t="s">
        <v>341</v>
      </c>
      <c r="J25" t="s">
        <v>336</v>
      </c>
      <c r="K25">
        <v>2</v>
      </c>
      <c r="L25" t="str">
        <f>IFERROR(_xlfn.XLOOKUP(A25,feature_catalog!A:A,feature_catalog!A:A),"")</f>
        <v>errorLeadToShot</v>
      </c>
    </row>
    <row r="26" spans="1:12" x14ac:dyDescent="0.4">
      <c r="A26" t="s">
        <v>572</v>
      </c>
      <c r="B26" t="s">
        <v>573</v>
      </c>
      <c r="C26" t="s">
        <v>486</v>
      </c>
      <c r="D26" t="s">
        <v>574</v>
      </c>
      <c r="E26" t="s">
        <v>575</v>
      </c>
      <c r="F26" t="s">
        <v>489</v>
      </c>
      <c r="G26" t="b">
        <v>0</v>
      </c>
      <c r="H26" t="s">
        <v>576</v>
      </c>
      <c r="I26" t="s">
        <v>577</v>
      </c>
      <c r="J26" t="s">
        <v>572</v>
      </c>
      <c r="L26" t="str">
        <f>IFERROR(_xlfn.XLOOKUP(A26,feature_catalog!A:A,feature_catalog!A:A),"")</f>
        <v>averageX</v>
      </c>
    </row>
    <row r="27" spans="1:12" x14ac:dyDescent="0.4">
      <c r="A27" t="s">
        <v>578</v>
      </c>
      <c r="B27" t="s">
        <v>579</v>
      </c>
      <c r="C27" t="s">
        <v>486</v>
      </c>
      <c r="D27" t="s">
        <v>580</v>
      </c>
      <c r="E27" t="s">
        <v>581</v>
      </c>
      <c r="F27" t="s">
        <v>489</v>
      </c>
      <c r="G27" t="b">
        <v>0</v>
      </c>
      <c r="H27" t="s">
        <v>582</v>
      </c>
      <c r="I27" t="s">
        <v>583</v>
      </c>
      <c r="J27" t="s">
        <v>578</v>
      </c>
      <c r="L27" t="str">
        <f>IFERROR(_xlfn.XLOOKUP(A27,feature_catalog!A:A,feature_catalog!A:A),"")</f>
        <v>averageY</v>
      </c>
    </row>
    <row r="28" spans="1:12" x14ac:dyDescent="0.4">
      <c r="A28" t="s">
        <v>484</v>
      </c>
      <c r="B28" t="s">
        <v>485</v>
      </c>
      <c r="C28" t="s">
        <v>486</v>
      </c>
      <c r="D28" t="s">
        <v>487</v>
      </c>
      <c r="E28" t="s">
        <v>488</v>
      </c>
      <c r="F28" t="s">
        <v>489</v>
      </c>
      <c r="G28" t="b">
        <v>0</v>
      </c>
      <c r="H28" t="s">
        <v>490</v>
      </c>
      <c r="I28" t="s">
        <v>491</v>
      </c>
      <c r="J28" t="s">
        <v>484</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9C4CB-B2BB-4048-87EB-08AC376A8CBF}">
  <dimension ref="A1:L31"/>
  <sheetViews>
    <sheetView topLeftCell="E1" workbookViewId="0">
      <pane ySplit="1" topLeftCell="A11" activePane="bottomLeft" state="frozen"/>
      <selection pane="bottomLeft" activeCell="L1" sqref="L1:L1048576"/>
    </sheetView>
  </sheetViews>
  <sheetFormatPr baseColWidth="10" defaultRowHeight="14.6" x14ac:dyDescent="0.4"/>
  <cols>
    <col min="1" max="1" width="25" bestFit="1" customWidth="1"/>
    <col min="2" max="2" width="16.84375" bestFit="1" customWidth="1"/>
    <col min="3" max="3" width="4.4609375" bestFit="1" customWidth="1"/>
    <col min="4" max="4" width="234.3046875" bestFit="1" customWidth="1"/>
    <col min="5" max="5" width="148.3828125" bestFit="1" customWidth="1"/>
    <col min="6" max="6" width="20.15234375" bestFit="1" customWidth="1"/>
    <col min="7" max="7" width="7.765625" bestFit="1" customWidth="1"/>
    <col min="8" max="8" width="20.84375" bestFit="1" customWidth="1"/>
    <col min="9" max="9" width="18.4609375" bestFit="1" customWidth="1"/>
    <col min="10" max="10" width="25" bestFit="1" customWidth="1"/>
    <col min="11" max="11" width="21.23046875" bestFit="1" customWidth="1"/>
  </cols>
  <sheetData>
    <row r="1" spans="1:12" x14ac:dyDescent="0.4">
      <c r="A1" s="9" t="s">
        <v>0</v>
      </c>
      <c r="B1" s="9" t="s">
        <v>1</v>
      </c>
      <c r="C1" s="9" t="s">
        <v>2</v>
      </c>
      <c r="D1" s="9" t="s">
        <v>3</v>
      </c>
      <c r="E1" s="9" t="s">
        <v>4</v>
      </c>
      <c r="F1" s="9" t="s">
        <v>5</v>
      </c>
      <c r="G1" s="9" t="s">
        <v>6</v>
      </c>
      <c r="H1" s="9" t="s">
        <v>7</v>
      </c>
      <c r="I1" s="9" t="s">
        <v>8</v>
      </c>
      <c r="J1" s="9" t="s">
        <v>0</v>
      </c>
      <c r="K1" s="9" t="s">
        <v>650</v>
      </c>
    </row>
    <row r="2" spans="1:12" x14ac:dyDescent="0.4">
      <c r="A2" t="s">
        <v>245</v>
      </c>
      <c r="B2" t="s">
        <v>246</v>
      </c>
      <c r="C2" t="s">
        <v>11</v>
      </c>
      <c r="D2" t="s">
        <v>247</v>
      </c>
      <c r="E2" t="s">
        <v>248</v>
      </c>
      <c r="F2" t="s">
        <v>249</v>
      </c>
      <c r="G2" t="b">
        <v>0</v>
      </c>
      <c r="H2" t="s">
        <v>250</v>
      </c>
      <c r="I2" t="s">
        <v>251</v>
      </c>
      <c r="J2" t="s">
        <v>245</v>
      </c>
      <c r="K2">
        <v>2</v>
      </c>
      <c r="L2" t="str">
        <f>IFERROR(_xlfn.XLOOKUP(A2,feature_catalog!A:A,feature_catalog!A:A),"")</f>
        <v>possessionWonAttThird</v>
      </c>
    </row>
    <row r="3" spans="1:12" x14ac:dyDescent="0.4">
      <c r="A3" t="s">
        <v>258</v>
      </c>
      <c r="B3" t="s">
        <v>259</v>
      </c>
      <c r="C3" t="s">
        <v>11</v>
      </c>
      <c r="D3" t="s">
        <v>260</v>
      </c>
      <c r="E3" t="s">
        <v>261</v>
      </c>
      <c r="F3" t="s">
        <v>262</v>
      </c>
      <c r="G3" t="b">
        <v>0</v>
      </c>
      <c r="H3" t="s">
        <v>263</v>
      </c>
      <c r="I3" t="s">
        <v>264</v>
      </c>
      <c r="J3" t="s">
        <v>258</v>
      </c>
      <c r="K3">
        <f>_xlfn.XLOOKUP(J3,recuperateur_DM!J:J,recuperateur_DM!K:K)</f>
        <v>2</v>
      </c>
      <c r="L3" t="str">
        <f>IFERROR(_xlfn.XLOOKUP(A3,feature_catalog!A:A,feature_catalog!A:A),"")</f>
        <v>ballRecovery</v>
      </c>
    </row>
    <row r="4" spans="1:12" x14ac:dyDescent="0.4">
      <c r="A4" t="s">
        <v>364</v>
      </c>
      <c r="B4" t="s">
        <v>365</v>
      </c>
      <c r="C4" t="s">
        <v>11</v>
      </c>
      <c r="D4" t="s">
        <v>366</v>
      </c>
      <c r="E4" t="s">
        <v>367</v>
      </c>
      <c r="F4" t="s">
        <v>349</v>
      </c>
      <c r="G4" t="b">
        <v>0</v>
      </c>
      <c r="H4" t="s">
        <v>368</v>
      </c>
      <c r="I4" t="s">
        <v>369</v>
      </c>
      <c r="J4" t="s">
        <v>364</v>
      </c>
      <c r="K4">
        <f>_xlfn.XLOOKUP(J4,recuperateur_DM!J:J,recuperateur_DM!K:K)</f>
        <v>1</v>
      </c>
      <c r="L4" t="str">
        <f>IFERROR(_xlfn.XLOOKUP(A4,feature_catalog!A:A,feature_catalog!A:A),"")</f>
        <v>interceptions</v>
      </c>
    </row>
    <row r="5" spans="1:12" x14ac:dyDescent="0.4">
      <c r="A5" t="s">
        <v>345</v>
      </c>
      <c r="B5" t="s">
        <v>346</v>
      </c>
      <c r="C5" t="s">
        <v>11</v>
      </c>
      <c r="D5" t="s">
        <v>347</v>
      </c>
      <c r="E5" t="s">
        <v>348</v>
      </c>
      <c r="F5" t="s">
        <v>349</v>
      </c>
      <c r="G5" t="b">
        <v>0</v>
      </c>
      <c r="H5" t="s">
        <v>350</v>
      </c>
      <c r="I5" t="s">
        <v>351</v>
      </c>
      <c r="J5" t="s">
        <v>345</v>
      </c>
      <c r="L5" t="str">
        <f>IFERROR(_xlfn.XLOOKUP(A5,feature_catalog!A:A,feature_catalog!A:A),"")</f>
        <v>tackles</v>
      </c>
    </row>
    <row r="6" spans="1:12" x14ac:dyDescent="0.4">
      <c r="A6" t="s">
        <v>352</v>
      </c>
      <c r="B6" t="s">
        <v>353</v>
      </c>
      <c r="C6" t="s">
        <v>11</v>
      </c>
      <c r="D6" t="s">
        <v>354</v>
      </c>
      <c r="E6" t="s">
        <v>355</v>
      </c>
      <c r="F6" t="s">
        <v>349</v>
      </c>
      <c r="G6" t="b">
        <v>0</v>
      </c>
      <c r="H6" t="s">
        <v>356</v>
      </c>
      <c r="I6" t="s">
        <v>357</v>
      </c>
      <c r="J6" t="s">
        <v>352</v>
      </c>
      <c r="L6" t="str">
        <f>IFERROR(_xlfn.XLOOKUP(A6,feature_catalog!A:A,feature_catalog!A:A),"")</f>
        <v>tacklesWon</v>
      </c>
    </row>
    <row r="7" spans="1:12" x14ac:dyDescent="0.4">
      <c r="A7" t="s">
        <v>358</v>
      </c>
      <c r="B7" t="s">
        <v>359</v>
      </c>
      <c r="C7" t="s">
        <v>79</v>
      </c>
      <c r="D7" t="s">
        <v>360</v>
      </c>
      <c r="E7" t="s">
        <v>361</v>
      </c>
      <c r="F7" t="s">
        <v>349</v>
      </c>
      <c r="G7" t="b">
        <v>0</v>
      </c>
      <c r="H7" t="s">
        <v>362</v>
      </c>
      <c r="I7" t="s">
        <v>363</v>
      </c>
      <c r="J7" t="s">
        <v>358</v>
      </c>
      <c r="L7" t="str">
        <f>IFERROR(_xlfn.XLOOKUP(A7,feature_catalog!A:A,feature_catalog!A:A),"")</f>
        <v>_tackle_success_pct</v>
      </c>
    </row>
    <row r="8" spans="1:12" x14ac:dyDescent="0.4">
      <c r="A8" t="s">
        <v>418</v>
      </c>
      <c r="B8" t="s">
        <v>419</v>
      </c>
      <c r="C8" t="s">
        <v>79</v>
      </c>
      <c r="D8" t="s">
        <v>420</v>
      </c>
      <c r="E8" t="s">
        <v>421</v>
      </c>
      <c r="F8" t="s">
        <v>415</v>
      </c>
      <c r="G8" t="b">
        <v>0</v>
      </c>
      <c r="H8" t="s">
        <v>422</v>
      </c>
      <c r="I8" t="s">
        <v>423</v>
      </c>
      <c r="J8" t="s">
        <v>418</v>
      </c>
      <c r="K8">
        <v>2</v>
      </c>
      <c r="L8" t="str">
        <f>IFERROR(_xlfn.XLOOKUP(A8,feature_catalog!A:A,feature_catalog!A:A),"")</f>
        <v>groundDuelsWonPercentage</v>
      </c>
    </row>
    <row r="9" spans="1:12" x14ac:dyDescent="0.4">
      <c r="A9" t="s">
        <v>411</v>
      </c>
      <c r="B9" t="s">
        <v>412</v>
      </c>
      <c r="C9" t="s">
        <v>11</v>
      </c>
      <c r="D9" t="s">
        <v>413</v>
      </c>
      <c r="E9" t="s">
        <v>414</v>
      </c>
      <c r="F9" t="s">
        <v>415</v>
      </c>
      <c r="G9" t="b">
        <v>0</v>
      </c>
      <c r="H9" t="s">
        <v>416</v>
      </c>
      <c r="I9" t="s">
        <v>417</v>
      </c>
      <c r="J9" t="s">
        <v>411</v>
      </c>
      <c r="K9">
        <v>2</v>
      </c>
      <c r="L9" t="str">
        <f>IFERROR(_xlfn.XLOOKUP(A9,feature_catalog!A:A,feature_catalog!A:A),"")</f>
        <v>groundDuelsWon</v>
      </c>
    </row>
    <row r="10" spans="1:12" x14ac:dyDescent="0.4">
      <c r="A10" t="s">
        <v>431</v>
      </c>
      <c r="B10" t="s">
        <v>432</v>
      </c>
      <c r="C10" t="s">
        <v>79</v>
      </c>
      <c r="D10" t="s">
        <v>433</v>
      </c>
      <c r="E10" t="s">
        <v>434</v>
      </c>
      <c r="F10" t="s">
        <v>435</v>
      </c>
      <c r="G10" t="b">
        <v>0</v>
      </c>
      <c r="H10" t="s">
        <v>436</v>
      </c>
      <c r="I10" t="s">
        <v>437</v>
      </c>
      <c r="J10" t="s">
        <v>431</v>
      </c>
      <c r="K10">
        <f>_xlfn.XLOOKUP(J10,recuperateur_DM!J:J,recuperateur_DM!K:K)</f>
        <v>1</v>
      </c>
      <c r="L10" t="str">
        <f>IFERROR(_xlfn.XLOOKUP(A10,feature_catalog!A:A,feature_catalog!A:A),"")</f>
        <v>aerialDuelsWonPercentage</v>
      </c>
    </row>
    <row r="11" spans="1:12" x14ac:dyDescent="0.4">
      <c r="A11" t="s">
        <v>424</v>
      </c>
      <c r="B11" t="s">
        <v>425</v>
      </c>
      <c r="C11" t="s">
        <v>11</v>
      </c>
      <c r="D11" t="s">
        <v>426</v>
      </c>
      <c r="E11" t="s">
        <v>427</v>
      </c>
      <c r="F11" t="s">
        <v>428</v>
      </c>
      <c r="G11" t="b">
        <v>0</v>
      </c>
      <c r="H11" t="s">
        <v>429</v>
      </c>
      <c r="I11" t="s">
        <v>430</v>
      </c>
      <c r="J11" t="s">
        <v>424</v>
      </c>
      <c r="L11" t="str">
        <f>IFERROR(_xlfn.XLOOKUP(A11,feature_catalog!A:A,feature_catalog!A:A),"")</f>
        <v>aerialDuelsWon</v>
      </c>
    </row>
    <row r="12" spans="1:12" x14ac:dyDescent="0.4">
      <c r="A12" t="s">
        <v>404</v>
      </c>
      <c r="B12" t="s">
        <v>405</v>
      </c>
      <c r="C12" t="s">
        <v>79</v>
      </c>
      <c r="D12" t="s">
        <v>406</v>
      </c>
      <c r="E12" t="s">
        <v>407</v>
      </c>
      <c r="F12" t="s">
        <v>408</v>
      </c>
      <c r="G12" t="b">
        <v>0</v>
      </c>
      <c r="H12" t="s">
        <v>409</v>
      </c>
      <c r="I12" t="s">
        <v>410</v>
      </c>
      <c r="J12" t="s">
        <v>404</v>
      </c>
      <c r="L12" t="str">
        <f>IFERROR(_xlfn.XLOOKUP(A12,feature_catalog!A:A,feature_catalog!A:A),"")</f>
        <v>_duels_won_pct</v>
      </c>
    </row>
    <row r="13" spans="1:12" x14ac:dyDescent="0.4">
      <c r="A13" t="s">
        <v>397</v>
      </c>
      <c r="B13" t="s">
        <v>398</v>
      </c>
      <c r="C13" t="s">
        <v>11</v>
      </c>
      <c r="D13" t="s">
        <v>399</v>
      </c>
      <c r="E13" t="s">
        <v>400</v>
      </c>
      <c r="F13" t="s">
        <v>401</v>
      </c>
      <c r="G13" t="b">
        <v>0</v>
      </c>
      <c r="H13" t="s">
        <v>402</v>
      </c>
      <c r="I13" t="s">
        <v>403</v>
      </c>
      <c r="J13" t="s">
        <v>397</v>
      </c>
      <c r="L13" t="str">
        <f>IFERROR(_xlfn.XLOOKUP(A13,feature_catalog!A:A,feature_catalog!A:A),"")</f>
        <v>_duels_won_p90</v>
      </c>
    </row>
    <row r="14" spans="1:12" x14ac:dyDescent="0.4">
      <c r="A14" t="s">
        <v>268</v>
      </c>
      <c r="B14" t="s">
        <v>269</v>
      </c>
      <c r="C14" t="s">
        <v>11</v>
      </c>
      <c r="D14" t="s">
        <v>270</v>
      </c>
      <c r="E14" t="s">
        <v>271</v>
      </c>
      <c r="F14" t="s">
        <v>272</v>
      </c>
      <c r="G14" t="b">
        <v>1</v>
      </c>
      <c r="H14" t="s">
        <v>273</v>
      </c>
      <c r="I14" t="s">
        <v>274</v>
      </c>
      <c r="J14" t="s">
        <v>268</v>
      </c>
      <c r="K14">
        <v>1</v>
      </c>
      <c r="L14" t="str">
        <f>IFERROR(_xlfn.XLOOKUP(A14,feature_catalog!A:A,feature_catalog!A:A),"")</f>
        <v>dribbledPast</v>
      </c>
    </row>
    <row r="15" spans="1:12" x14ac:dyDescent="0.4">
      <c r="A15" t="s">
        <v>302</v>
      </c>
      <c r="B15" t="s">
        <v>303</v>
      </c>
      <c r="C15" t="s">
        <v>11</v>
      </c>
      <c r="D15" t="s">
        <v>304</v>
      </c>
      <c r="E15" t="s">
        <v>305</v>
      </c>
      <c r="F15" t="s">
        <v>306</v>
      </c>
      <c r="G15" t="b">
        <v>1</v>
      </c>
      <c r="H15" t="s">
        <v>307</v>
      </c>
      <c r="I15" t="s">
        <v>308</v>
      </c>
      <c r="J15" t="s">
        <v>302</v>
      </c>
      <c r="L15" t="str">
        <f>IFERROR(_xlfn.XLOOKUP(A15,feature_catalog!A:A,feature_catalog!A:A),"")</f>
        <v>fouls</v>
      </c>
    </row>
    <row r="16" spans="1:12" x14ac:dyDescent="0.4">
      <c r="A16" t="s">
        <v>252</v>
      </c>
      <c r="B16" t="s">
        <v>253</v>
      </c>
      <c r="C16" t="s">
        <v>11</v>
      </c>
      <c r="D16" t="s">
        <v>254</v>
      </c>
      <c r="E16" t="s">
        <v>255</v>
      </c>
      <c r="F16" t="s">
        <v>49</v>
      </c>
      <c r="G16" t="b">
        <v>0</v>
      </c>
      <c r="H16" t="s">
        <v>256</v>
      </c>
      <c r="I16" t="s">
        <v>257</v>
      </c>
      <c r="J16" t="s">
        <v>252</v>
      </c>
      <c r="L16" t="str">
        <f>IFERROR(_xlfn.XLOOKUP(A16,feature_catalog!A:A,feature_catalog!A:A),"")</f>
        <v>wasFouled</v>
      </c>
    </row>
    <row r="17" spans="1:12" x14ac:dyDescent="0.4">
      <c r="A17" t="s">
        <v>370</v>
      </c>
      <c r="B17" t="s">
        <v>371</v>
      </c>
      <c r="C17" t="s">
        <v>11</v>
      </c>
      <c r="D17" t="s">
        <v>372</v>
      </c>
      <c r="E17" t="s">
        <v>373</v>
      </c>
      <c r="F17" t="s">
        <v>374</v>
      </c>
      <c r="G17" t="b">
        <v>0</v>
      </c>
      <c r="H17" t="s">
        <v>375</v>
      </c>
      <c r="I17" t="s">
        <v>376</v>
      </c>
      <c r="J17" t="s">
        <v>370</v>
      </c>
      <c r="L17" t="str">
        <f>IFERROR(_xlfn.XLOOKUP(A17,feature_catalog!A:A,feature_catalog!A:A),"")</f>
        <v>clearances</v>
      </c>
    </row>
    <row r="18" spans="1:12" x14ac:dyDescent="0.4">
      <c r="A18" t="s">
        <v>384</v>
      </c>
      <c r="B18" t="s">
        <v>385</v>
      </c>
      <c r="C18" t="s">
        <v>11</v>
      </c>
      <c r="D18" t="s">
        <v>386</v>
      </c>
      <c r="E18" t="s">
        <v>387</v>
      </c>
      <c r="F18" t="s">
        <v>388</v>
      </c>
      <c r="G18" t="b">
        <v>0</v>
      </c>
      <c r="H18" t="s">
        <v>389</v>
      </c>
      <c r="I18" t="s">
        <v>390</v>
      </c>
      <c r="J18" t="s">
        <v>384</v>
      </c>
      <c r="L18" t="str">
        <f>IFERROR(_xlfn.XLOOKUP(A18,feature_catalog!A:A,feature_catalog!A:A),"")</f>
        <v>blockedShots</v>
      </c>
    </row>
    <row r="19" spans="1:12" x14ac:dyDescent="0.4">
      <c r="A19" t="s">
        <v>329</v>
      </c>
      <c r="B19" t="s">
        <v>330</v>
      </c>
      <c r="C19" t="s">
        <v>11</v>
      </c>
      <c r="D19" t="s">
        <v>331</v>
      </c>
      <c r="E19" t="s">
        <v>332</v>
      </c>
      <c r="F19" t="s">
        <v>333</v>
      </c>
      <c r="G19" t="b">
        <v>1</v>
      </c>
      <c r="H19" t="s">
        <v>334</v>
      </c>
      <c r="I19" t="s">
        <v>335</v>
      </c>
      <c r="J19" t="s">
        <v>329</v>
      </c>
      <c r="L19" t="str">
        <f>IFERROR(_xlfn.XLOOKUP(A19,feature_catalog!A:A,feature_catalog!A:A),"")</f>
        <v>errorLeadToGoal</v>
      </c>
    </row>
    <row r="20" spans="1:12" x14ac:dyDescent="0.4">
      <c r="A20" t="s">
        <v>336</v>
      </c>
      <c r="B20" t="s">
        <v>337</v>
      </c>
      <c r="C20" t="s">
        <v>11</v>
      </c>
      <c r="D20" t="s">
        <v>338</v>
      </c>
      <c r="E20" t="s">
        <v>339</v>
      </c>
      <c r="F20" t="s">
        <v>333</v>
      </c>
      <c r="G20" t="b">
        <v>1</v>
      </c>
      <c r="H20" t="s">
        <v>340</v>
      </c>
      <c r="I20" t="s">
        <v>341</v>
      </c>
      <c r="J20" t="s">
        <v>336</v>
      </c>
      <c r="K20">
        <v>1</v>
      </c>
      <c r="L20" t="str">
        <f>IFERROR(_xlfn.XLOOKUP(A20,feature_catalog!A:A,feature_catalog!A:A),"")</f>
        <v>errorLeadToShot</v>
      </c>
    </row>
    <row r="21" spans="1:12" x14ac:dyDescent="0.4">
      <c r="A21" t="s">
        <v>159</v>
      </c>
      <c r="B21" t="s">
        <v>160</v>
      </c>
      <c r="C21" t="s">
        <v>79</v>
      </c>
      <c r="D21" t="s">
        <v>161</v>
      </c>
      <c r="E21" t="s">
        <v>162</v>
      </c>
      <c r="F21" t="s">
        <v>163</v>
      </c>
      <c r="G21" t="b">
        <v>0</v>
      </c>
      <c r="H21" t="s">
        <v>164</v>
      </c>
      <c r="I21" t="s">
        <v>165</v>
      </c>
      <c r="J21" t="s">
        <v>159</v>
      </c>
      <c r="K21">
        <v>2</v>
      </c>
      <c r="L21" t="str">
        <f>IFERROR(_xlfn.XLOOKUP(A21,feature_catalog!A:A,feature_catalog!A:A),"")</f>
        <v>accuratePassesPercentage</v>
      </c>
    </row>
    <row r="22" spans="1:12" x14ac:dyDescent="0.4">
      <c r="A22" t="s">
        <v>238</v>
      </c>
      <c r="B22" t="s">
        <v>239</v>
      </c>
      <c r="C22" t="s">
        <v>11</v>
      </c>
      <c r="D22" t="s">
        <v>240</v>
      </c>
      <c r="E22" t="s">
        <v>241</v>
      </c>
      <c r="F22" t="s">
        <v>242</v>
      </c>
      <c r="G22" t="b">
        <v>1</v>
      </c>
      <c r="H22" t="s">
        <v>243</v>
      </c>
      <c r="I22" t="s">
        <v>244</v>
      </c>
      <c r="J22" t="s">
        <v>238</v>
      </c>
      <c r="K22">
        <f>_xlfn.XLOOKUP(J22,recuperateur_DM!J:J,recuperateur_DM!K:K)</f>
        <v>1</v>
      </c>
      <c r="L22" t="str">
        <f>IFERROR(_xlfn.XLOOKUP(A22,feature_catalog!A:A,feature_catalog!A:A),"")</f>
        <v>possessionLost</v>
      </c>
    </row>
    <row r="23" spans="1:12" x14ac:dyDescent="0.4">
      <c r="A23" t="s">
        <v>153</v>
      </c>
      <c r="B23" t="s">
        <v>154</v>
      </c>
      <c r="C23" t="s">
        <v>11</v>
      </c>
      <c r="D23" t="s">
        <v>155</v>
      </c>
      <c r="E23" t="s">
        <v>156</v>
      </c>
      <c r="F23" t="s">
        <v>110</v>
      </c>
      <c r="G23" t="b">
        <v>0</v>
      </c>
      <c r="H23" t="s">
        <v>157</v>
      </c>
      <c r="I23" t="s">
        <v>158</v>
      </c>
      <c r="J23" t="s">
        <v>153</v>
      </c>
      <c r="L23" t="str">
        <f>IFERROR(_xlfn.XLOOKUP(A23,feature_catalog!A:A,feature_catalog!A:A),"")</f>
        <v>accuratePasses</v>
      </c>
    </row>
    <row r="24" spans="1:12" x14ac:dyDescent="0.4">
      <c r="A24" t="s">
        <v>173</v>
      </c>
      <c r="B24" t="s">
        <v>174</v>
      </c>
      <c r="C24" t="s">
        <v>79</v>
      </c>
      <c r="D24" t="s">
        <v>175</v>
      </c>
      <c r="E24" t="s">
        <v>176</v>
      </c>
      <c r="F24" t="s">
        <v>170</v>
      </c>
      <c r="G24" t="b">
        <v>0</v>
      </c>
      <c r="H24" t="s">
        <v>177</v>
      </c>
      <c r="I24" t="s">
        <v>178</v>
      </c>
      <c r="J24" t="s">
        <v>173</v>
      </c>
      <c r="L24" t="str">
        <f>IFERROR(_xlfn.XLOOKUP(A24,feature_catalog!A:A,feature_catalog!A:A),"")</f>
        <v>accurateLongBallsPercentage</v>
      </c>
    </row>
    <row r="25" spans="1:12" x14ac:dyDescent="0.4">
      <c r="A25" t="s">
        <v>31</v>
      </c>
      <c r="B25" t="s">
        <v>32</v>
      </c>
      <c r="C25" t="s">
        <v>11</v>
      </c>
      <c r="D25" t="s">
        <v>33</v>
      </c>
      <c r="E25" t="s">
        <v>34</v>
      </c>
      <c r="F25" t="s">
        <v>35</v>
      </c>
      <c r="G25" t="b">
        <v>0</v>
      </c>
      <c r="H25" t="s">
        <v>36</v>
      </c>
      <c r="I25" t="s">
        <v>37</v>
      </c>
      <c r="J25" t="s">
        <v>31</v>
      </c>
      <c r="L25" t="str">
        <f>IFERROR(_xlfn.XLOOKUP(A25,feature_catalog!A:A,feature_catalog!A:A),"")</f>
        <v>xGChain_us</v>
      </c>
    </row>
    <row r="26" spans="1:12" x14ac:dyDescent="0.4">
      <c r="A26" t="s">
        <v>38</v>
      </c>
      <c r="B26" t="s">
        <v>39</v>
      </c>
      <c r="C26" t="s">
        <v>11</v>
      </c>
      <c r="D26" t="s">
        <v>40</v>
      </c>
      <c r="E26" t="s">
        <v>41</v>
      </c>
      <c r="F26" t="s">
        <v>42</v>
      </c>
      <c r="G26" t="b">
        <v>0</v>
      </c>
      <c r="H26" t="s">
        <v>43</v>
      </c>
      <c r="I26" t="s">
        <v>44</v>
      </c>
      <c r="J26" t="s">
        <v>38</v>
      </c>
      <c r="L26" t="str">
        <f>IFERROR(_xlfn.XLOOKUP(A26,feature_catalog!A:A,feature_catalog!A:A),"")</f>
        <v>xGBuildup_us</v>
      </c>
    </row>
    <row r="27" spans="1:12" x14ac:dyDescent="0.4">
      <c r="A27" t="s">
        <v>106</v>
      </c>
      <c r="B27" t="s">
        <v>107</v>
      </c>
      <c r="C27" t="s">
        <v>11</v>
      </c>
      <c r="D27" t="s">
        <v>108</v>
      </c>
      <c r="E27" t="s">
        <v>109</v>
      </c>
      <c r="F27" t="s">
        <v>110</v>
      </c>
      <c r="G27" t="b">
        <v>0</v>
      </c>
      <c r="H27" t="s">
        <v>111</v>
      </c>
      <c r="I27" t="s">
        <v>112</v>
      </c>
      <c r="J27" t="s">
        <v>106</v>
      </c>
    </row>
    <row r="28" spans="1:12" x14ac:dyDescent="0.4">
      <c r="A28" t="s">
        <v>199</v>
      </c>
      <c r="B28" t="s">
        <v>200</v>
      </c>
      <c r="C28" t="s">
        <v>11</v>
      </c>
      <c r="D28" t="s">
        <v>201</v>
      </c>
      <c r="E28" t="s">
        <v>202</v>
      </c>
      <c r="F28" t="s">
        <v>203</v>
      </c>
      <c r="G28" t="b">
        <v>0</v>
      </c>
      <c r="H28" t="s">
        <v>204</v>
      </c>
      <c r="I28" t="s">
        <v>205</v>
      </c>
      <c r="J28" t="s">
        <v>199</v>
      </c>
    </row>
    <row r="29" spans="1:12" x14ac:dyDescent="0.4">
      <c r="A29" t="s">
        <v>572</v>
      </c>
      <c r="B29" t="s">
        <v>573</v>
      </c>
      <c r="C29" t="s">
        <v>486</v>
      </c>
      <c r="D29" t="s">
        <v>574</v>
      </c>
      <c r="E29" t="s">
        <v>575</v>
      </c>
      <c r="F29" t="s">
        <v>489</v>
      </c>
      <c r="G29" t="b">
        <v>0</v>
      </c>
      <c r="H29" t="s">
        <v>576</v>
      </c>
      <c r="I29" t="s">
        <v>577</v>
      </c>
      <c r="J29" t="s">
        <v>572</v>
      </c>
    </row>
    <row r="30" spans="1:12" x14ac:dyDescent="0.4">
      <c r="A30" t="s">
        <v>578</v>
      </c>
      <c r="B30" t="s">
        <v>579</v>
      </c>
      <c r="C30" t="s">
        <v>486</v>
      </c>
      <c r="D30" t="s">
        <v>580</v>
      </c>
      <c r="E30" t="s">
        <v>581</v>
      </c>
      <c r="F30" t="s">
        <v>489</v>
      </c>
      <c r="G30" t="b">
        <v>0</v>
      </c>
      <c r="H30" t="s">
        <v>582</v>
      </c>
      <c r="I30" t="s">
        <v>583</v>
      </c>
      <c r="J30" t="s">
        <v>578</v>
      </c>
    </row>
    <row r="31" spans="1:12" x14ac:dyDescent="0.4">
      <c r="A31" t="s">
        <v>484</v>
      </c>
      <c r="B31" t="s">
        <v>485</v>
      </c>
      <c r="C31" t="s">
        <v>486</v>
      </c>
      <c r="D31" t="s">
        <v>487</v>
      </c>
      <c r="E31" t="s">
        <v>488</v>
      </c>
      <c r="F31" t="s">
        <v>489</v>
      </c>
      <c r="G31" t="b">
        <v>0</v>
      </c>
      <c r="H31" t="s">
        <v>490</v>
      </c>
      <c r="I31" t="s">
        <v>491</v>
      </c>
      <c r="J31" t="s">
        <v>484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EBF4B-8819-41E1-AD4E-F9418E479DF8}">
  <dimension ref="A1:M43"/>
  <sheetViews>
    <sheetView topLeftCell="G1" workbookViewId="0">
      <pane ySplit="1" topLeftCell="A17" activePane="bottomLeft" state="frozen"/>
      <selection pane="bottomLeft" activeCell="M1" sqref="M1:M1048576"/>
    </sheetView>
  </sheetViews>
  <sheetFormatPr baseColWidth="10" defaultRowHeight="14.6" x14ac:dyDescent="0.4"/>
  <cols>
    <col min="1" max="1" width="25.4609375" bestFit="1" customWidth="1"/>
    <col min="2" max="2" width="16.84375" bestFit="1" customWidth="1"/>
    <col min="3" max="3" width="4.4609375" bestFit="1" customWidth="1"/>
    <col min="4" max="4" width="234.3046875" bestFit="1" customWidth="1"/>
    <col min="5" max="5" width="148.3828125" bestFit="1" customWidth="1"/>
    <col min="6" max="6" width="20.15234375" bestFit="1" customWidth="1"/>
    <col min="7" max="7" width="7.765625" bestFit="1" customWidth="1"/>
    <col min="8" max="8" width="20.84375" bestFit="1" customWidth="1"/>
    <col min="9" max="9" width="18.4609375" bestFit="1" customWidth="1"/>
    <col min="10" max="10" width="25.4609375" bestFit="1" customWidth="1"/>
    <col min="11" max="12" width="11" bestFit="1" customWidth="1"/>
  </cols>
  <sheetData>
    <row r="1" spans="1:13" x14ac:dyDescent="0.4">
      <c r="A1" s="9" t="s">
        <v>0</v>
      </c>
      <c r="B1" s="9" t="s">
        <v>1</v>
      </c>
      <c r="C1" s="9" t="s">
        <v>2</v>
      </c>
      <c r="D1" s="9" t="s">
        <v>3</v>
      </c>
      <c r="E1" s="9" t="s">
        <v>4</v>
      </c>
      <c r="F1" s="9" t="s">
        <v>5</v>
      </c>
      <c r="G1" s="9" t="s">
        <v>6</v>
      </c>
      <c r="H1" s="9" t="s">
        <v>7</v>
      </c>
      <c r="I1" s="9" t="s">
        <v>8</v>
      </c>
      <c r="J1" s="9" t="s">
        <v>0</v>
      </c>
      <c r="K1" s="9" t="s">
        <v>645</v>
      </c>
      <c r="L1" s="9" t="s">
        <v>645</v>
      </c>
    </row>
    <row r="2" spans="1:13" x14ac:dyDescent="0.4">
      <c r="A2" t="s">
        <v>345</v>
      </c>
      <c r="B2" t="s">
        <v>346</v>
      </c>
      <c r="C2" t="s">
        <v>11</v>
      </c>
      <c r="D2" t="s">
        <v>347</v>
      </c>
      <c r="E2" t="s">
        <v>348</v>
      </c>
      <c r="F2" t="s">
        <v>349</v>
      </c>
      <c r="G2" t="b">
        <v>0</v>
      </c>
      <c r="H2" t="s">
        <v>350</v>
      </c>
      <c r="I2" t="s">
        <v>351</v>
      </c>
      <c r="J2" t="s">
        <v>345</v>
      </c>
      <c r="L2" s="5" t="s">
        <v>648</v>
      </c>
      <c r="M2" t="str">
        <f>IFERROR(_xlfn.XLOOKUP(B2,feature_catalog!B:B,feature_catalog!B:B),"")</f>
        <v>tackles_p90</v>
      </c>
    </row>
    <row r="3" spans="1:13" x14ac:dyDescent="0.4">
      <c r="A3" t="s">
        <v>358</v>
      </c>
      <c r="B3" t="s">
        <v>359</v>
      </c>
      <c r="C3" t="s">
        <v>79</v>
      </c>
      <c r="D3" t="s">
        <v>360</v>
      </c>
      <c r="E3" t="s">
        <v>361</v>
      </c>
      <c r="F3" t="s">
        <v>349</v>
      </c>
      <c r="G3" t="b">
        <v>0</v>
      </c>
      <c r="H3" t="s">
        <v>362</v>
      </c>
      <c r="I3" t="s">
        <v>363</v>
      </c>
      <c r="J3" t="s">
        <v>358</v>
      </c>
      <c r="L3" s="3" t="s">
        <v>646</v>
      </c>
      <c r="M3" t="str">
        <f>IFERROR(_xlfn.XLOOKUP(B3,feature_catalog!B:B,feature_catalog!B:B),"")</f>
        <v>tackle_success_pct</v>
      </c>
    </row>
    <row r="4" spans="1:13" x14ac:dyDescent="0.4">
      <c r="A4" t="s">
        <v>364</v>
      </c>
      <c r="B4" t="s">
        <v>365</v>
      </c>
      <c r="C4" t="s">
        <v>11</v>
      </c>
      <c r="D4" t="s">
        <v>366</v>
      </c>
      <c r="E4" t="s">
        <v>367</v>
      </c>
      <c r="F4" t="s">
        <v>349</v>
      </c>
      <c r="G4" t="b">
        <v>0</v>
      </c>
      <c r="H4" t="s">
        <v>368</v>
      </c>
      <c r="I4" t="s">
        <v>369</v>
      </c>
      <c r="J4" t="s">
        <v>364</v>
      </c>
      <c r="K4">
        <v>1</v>
      </c>
      <c r="L4" s="5" t="s">
        <v>648</v>
      </c>
      <c r="M4" t="str">
        <f>IFERROR(_xlfn.XLOOKUP(B4,feature_catalog!B:B,feature_catalog!B:B),"")</f>
        <v>interceptions_p90</v>
      </c>
    </row>
    <row r="5" spans="1:13" x14ac:dyDescent="0.4">
      <c r="A5" t="s">
        <v>258</v>
      </c>
      <c r="B5" t="s">
        <v>259</v>
      </c>
      <c r="C5" t="s">
        <v>11</v>
      </c>
      <c r="D5" t="s">
        <v>260</v>
      </c>
      <c r="E5" t="s">
        <v>261</v>
      </c>
      <c r="F5" t="s">
        <v>262</v>
      </c>
      <c r="G5" t="b">
        <v>0</v>
      </c>
      <c r="H5" t="s">
        <v>263</v>
      </c>
      <c r="I5" t="s">
        <v>264</v>
      </c>
      <c r="J5" t="s">
        <v>258</v>
      </c>
      <c r="K5">
        <v>1.5</v>
      </c>
      <c r="L5" s="5" t="s">
        <v>648</v>
      </c>
      <c r="M5" t="str">
        <f>IFERROR(_xlfn.XLOOKUP(B5,feature_catalog!B:B,feature_catalog!B:B),"")</f>
        <v>ball_recovery_p90</v>
      </c>
    </row>
    <row r="6" spans="1:13" x14ac:dyDescent="0.4">
      <c r="A6" t="s">
        <v>245</v>
      </c>
      <c r="B6" t="s">
        <v>246</v>
      </c>
      <c r="C6" t="s">
        <v>11</v>
      </c>
      <c r="D6" t="s">
        <v>247</v>
      </c>
      <c r="E6" t="s">
        <v>248</v>
      </c>
      <c r="F6" t="s">
        <v>249</v>
      </c>
      <c r="G6" t="b">
        <v>0</v>
      </c>
      <c r="H6" t="s">
        <v>250</v>
      </c>
      <c r="I6" t="s">
        <v>251</v>
      </c>
      <c r="J6" t="s">
        <v>245</v>
      </c>
      <c r="L6" s="3" t="s">
        <v>646</v>
      </c>
      <c r="M6" t="str">
        <f>IFERROR(_xlfn.XLOOKUP(B6,feature_catalog!B:B,feature_catalog!B:B),"")</f>
        <v>poss_won_att3_p90</v>
      </c>
    </row>
    <row r="7" spans="1:13" x14ac:dyDescent="0.4">
      <c r="A7" t="s">
        <v>418</v>
      </c>
      <c r="B7" t="s">
        <v>419</v>
      </c>
      <c r="C7" t="s">
        <v>79</v>
      </c>
      <c r="D7" t="s">
        <v>420</v>
      </c>
      <c r="E7" t="s">
        <v>421</v>
      </c>
      <c r="F7" t="s">
        <v>415</v>
      </c>
      <c r="G7" t="b">
        <v>0</v>
      </c>
      <c r="H7" t="s">
        <v>422</v>
      </c>
      <c r="I7" t="s">
        <v>423</v>
      </c>
      <c r="J7" t="s">
        <v>418</v>
      </c>
      <c r="K7">
        <v>1</v>
      </c>
      <c r="L7" s="3" t="s">
        <v>646</v>
      </c>
      <c r="M7" t="str">
        <f>IFERROR(_xlfn.XLOOKUP(B7,feature_catalog!B:B,feature_catalog!B:B),"")</f>
        <v>ground_duels_pct</v>
      </c>
    </row>
    <row r="8" spans="1:13" x14ac:dyDescent="0.4">
      <c r="A8" t="s">
        <v>411</v>
      </c>
      <c r="B8" t="s">
        <v>412</v>
      </c>
      <c r="C8" t="s">
        <v>11</v>
      </c>
      <c r="D8" t="s">
        <v>413</v>
      </c>
      <c r="E8" t="s">
        <v>414</v>
      </c>
      <c r="F8" t="s">
        <v>415</v>
      </c>
      <c r="G8" t="b">
        <v>0</v>
      </c>
      <c r="H8" t="s">
        <v>416</v>
      </c>
      <c r="I8" t="s">
        <v>417</v>
      </c>
      <c r="J8" t="s">
        <v>411</v>
      </c>
      <c r="K8">
        <v>1</v>
      </c>
      <c r="L8" s="3" t="s">
        <v>646</v>
      </c>
      <c r="M8" t="str">
        <f>IFERROR(_xlfn.XLOOKUP(B8,feature_catalog!B:B,feature_catalog!B:B),"")</f>
        <v>ground_duels_p90</v>
      </c>
    </row>
    <row r="9" spans="1:13" x14ac:dyDescent="0.4">
      <c r="A9" t="s">
        <v>431</v>
      </c>
      <c r="B9" t="s">
        <v>432</v>
      </c>
      <c r="C9" t="s">
        <v>79</v>
      </c>
      <c r="D9" t="s">
        <v>433</v>
      </c>
      <c r="E9" t="s">
        <v>434</v>
      </c>
      <c r="F9" t="s">
        <v>435</v>
      </c>
      <c r="G9" t="b">
        <v>0</v>
      </c>
      <c r="H9" t="s">
        <v>436</v>
      </c>
      <c r="I9" t="s">
        <v>437</v>
      </c>
      <c r="J9" t="s">
        <v>431</v>
      </c>
      <c r="L9" s="4" t="s">
        <v>647</v>
      </c>
      <c r="M9" t="str">
        <f>IFERROR(_xlfn.XLOOKUP(B9,feature_catalog!B:B,feature_catalog!B:B),"")</f>
        <v>aerial_duels_pct</v>
      </c>
    </row>
    <row r="10" spans="1:13" x14ac:dyDescent="0.4">
      <c r="A10" t="s">
        <v>424</v>
      </c>
      <c r="B10" t="s">
        <v>425</v>
      </c>
      <c r="C10" t="s">
        <v>11</v>
      </c>
      <c r="D10" t="s">
        <v>426</v>
      </c>
      <c r="E10" t="s">
        <v>427</v>
      </c>
      <c r="F10" t="s">
        <v>428</v>
      </c>
      <c r="G10" t="b">
        <v>0</v>
      </c>
      <c r="H10" t="s">
        <v>429</v>
      </c>
      <c r="I10" t="s">
        <v>430</v>
      </c>
      <c r="J10" t="s">
        <v>424</v>
      </c>
      <c r="L10" s="4" t="s">
        <v>647</v>
      </c>
      <c r="M10" t="str">
        <f>IFERROR(_xlfn.XLOOKUP(B10,feature_catalog!B:B,feature_catalog!B:B),"")</f>
        <v>aerial_duels_p90</v>
      </c>
    </row>
    <row r="11" spans="1:13" x14ac:dyDescent="0.4">
      <c r="A11" t="s">
        <v>404</v>
      </c>
      <c r="B11" t="s">
        <v>405</v>
      </c>
      <c r="C11" t="s">
        <v>79</v>
      </c>
      <c r="D11" t="s">
        <v>406</v>
      </c>
      <c r="E11" t="s">
        <v>407</v>
      </c>
      <c r="F11" t="s">
        <v>408</v>
      </c>
      <c r="G11" t="b">
        <v>0</v>
      </c>
      <c r="H11" t="s">
        <v>409</v>
      </c>
      <c r="I11" t="s">
        <v>410</v>
      </c>
      <c r="J11" t="s">
        <v>404</v>
      </c>
      <c r="L11" s="3" t="s">
        <v>646</v>
      </c>
      <c r="M11" t="str">
        <f>IFERROR(_xlfn.XLOOKUP(B11,feature_catalog!B:B,feature_catalog!B:B),"")</f>
        <v>duels_won_pct</v>
      </c>
    </row>
    <row r="12" spans="1:13" x14ac:dyDescent="0.4">
      <c r="A12" t="s">
        <v>397</v>
      </c>
      <c r="B12" t="s">
        <v>398</v>
      </c>
      <c r="C12" t="s">
        <v>11</v>
      </c>
      <c r="D12" t="s">
        <v>399</v>
      </c>
      <c r="E12" t="s">
        <v>400</v>
      </c>
      <c r="F12" t="s">
        <v>401</v>
      </c>
      <c r="G12" t="b">
        <v>0</v>
      </c>
      <c r="H12" t="s">
        <v>402</v>
      </c>
      <c r="I12" t="s">
        <v>403</v>
      </c>
      <c r="J12" t="s">
        <v>397</v>
      </c>
      <c r="L12" s="3" t="s">
        <v>646</v>
      </c>
      <c r="M12" t="str">
        <f>IFERROR(_xlfn.XLOOKUP(B12,feature_catalog!B:B,feature_catalog!B:B),"")</f>
        <v>duels_won_p90</v>
      </c>
    </row>
    <row r="13" spans="1:13" x14ac:dyDescent="0.4">
      <c r="A13" t="s">
        <v>268</v>
      </c>
      <c r="B13" t="s">
        <v>269</v>
      </c>
      <c r="C13" t="s">
        <v>11</v>
      </c>
      <c r="D13" t="s">
        <v>270</v>
      </c>
      <c r="E13" t="s">
        <v>271</v>
      </c>
      <c r="F13" t="s">
        <v>272</v>
      </c>
      <c r="G13" t="b">
        <v>1</v>
      </c>
      <c r="H13" t="s">
        <v>273</v>
      </c>
      <c r="I13" t="s">
        <v>274</v>
      </c>
      <c r="J13" t="s">
        <v>268</v>
      </c>
      <c r="K13">
        <v>1</v>
      </c>
      <c r="L13" s="3" t="s">
        <v>646</v>
      </c>
      <c r="M13" t="str">
        <f>IFERROR(_xlfn.XLOOKUP(B13,feature_catalog!B:B,feature_catalog!B:B),"")</f>
        <v>dribbled_past_p90</v>
      </c>
    </row>
    <row r="14" spans="1:13" x14ac:dyDescent="0.4">
      <c r="A14" t="s">
        <v>370</v>
      </c>
      <c r="B14" t="s">
        <v>371</v>
      </c>
      <c r="C14" t="s">
        <v>11</v>
      </c>
      <c r="D14" t="s">
        <v>372</v>
      </c>
      <c r="E14" t="s">
        <v>373</v>
      </c>
      <c r="F14" t="s">
        <v>374</v>
      </c>
      <c r="G14" t="b">
        <v>0</v>
      </c>
      <c r="H14" t="s">
        <v>375</v>
      </c>
      <c r="I14" t="s">
        <v>376</v>
      </c>
      <c r="J14" t="s">
        <v>370</v>
      </c>
      <c r="L14" s="4" t="s">
        <v>647</v>
      </c>
      <c r="M14" t="str">
        <f>IFERROR(_xlfn.XLOOKUP(B14,feature_catalog!B:B,feature_catalog!B:B),"")</f>
        <v>clearances_p90</v>
      </c>
    </row>
    <row r="15" spans="1:13" x14ac:dyDescent="0.4">
      <c r="A15" t="s">
        <v>384</v>
      </c>
      <c r="B15" t="s">
        <v>385</v>
      </c>
      <c r="C15" t="s">
        <v>11</v>
      </c>
      <c r="D15" t="s">
        <v>386</v>
      </c>
      <c r="E15" t="s">
        <v>387</v>
      </c>
      <c r="F15" t="s">
        <v>388</v>
      </c>
      <c r="G15" t="b">
        <v>0</v>
      </c>
      <c r="H15" t="s">
        <v>389</v>
      </c>
      <c r="I15" t="s">
        <v>390</v>
      </c>
      <c r="J15" t="s">
        <v>384</v>
      </c>
      <c r="L15" s="4" t="s">
        <v>647</v>
      </c>
      <c r="M15" t="str">
        <f>IFERROR(_xlfn.XLOOKUP(B15,feature_catalog!B:B,feature_catalog!B:B),"")</f>
        <v>blocked_shots_p90</v>
      </c>
    </row>
    <row r="16" spans="1:13" x14ac:dyDescent="0.4">
      <c r="A16" t="s">
        <v>329</v>
      </c>
      <c r="B16" t="s">
        <v>330</v>
      </c>
      <c r="C16" t="s">
        <v>11</v>
      </c>
      <c r="D16" t="s">
        <v>331</v>
      </c>
      <c r="E16" t="s">
        <v>332</v>
      </c>
      <c r="F16" t="s">
        <v>333</v>
      </c>
      <c r="G16" t="b">
        <v>1</v>
      </c>
      <c r="H16" t="s">
        <v>334</v>
      </c>
      <c r="I16" t="s">
        <v>335</v>
      </c>
      <c r="J16" t="s">
        <v>329</v>
      </c>
      <c r="L16" s="5" t="s">
        <v>648</v>
      </c>
      <c r="M16" t="str">
        <f>IFERROR(_xlfn.XLOOKUP(B16,feature_catalog!B:B,feature_catalog!B:B),"")</f>
        <v>errors_goal_p90</v>
      </c>
    </row>
    <row r="17" spans="1:13" x14ac:dyDescent="0.4">
      <c r="A17" t="s">
        <v>336</v>
      </c>
      <c r="B17" t="s">
        <v>337</v>
      </c>
      <c r="C17" t="s">
        <v>11</v>
      </c>
      <c r="D17" t="s">
        <v>338</v>
      </c>
      <c r="E17" t="s">
        <v>339</v>
      </c>
      <c r="F17" t="s">
        <v>333</v>
      </c>
      <c r="G17" t="b">
        <v>1</v>
      </c>
      <c r="H17" t="s">
        <v>340</v>
      </c>
      <c r="I17" t="s">
        <v>341</v>
      </c>
      <c r="J17" t="s">
        <v>336</v>
      </c>
      <c r="K17">
        <v>1</v>
      </c>
      <c r="L17" s="3" t="s">
        <v>646</v>
      </c>
      <c r="M17" t="str">
        <f>IFERROR(_xlfn.XLOOKUP(B17,feature_catalog!B:B,feature_catalog!B:B),"")</f>
        <v>errors_shot_p90</v>
      </c>
    </row>
    <row r="18" spans="1:13" x14ac:dyDescent="0.4">
      <c r="A18" t="s">
        <v>302</v>
      </c>
      <c r="B18" t="s">
        <v>303</v>
      </c>
      <c r="C18" t="s">
        <v>11</v>
      </c>
      <c r="D18" t="s">
        <v>304</v>
      </c>
      <c r="E18" t="s">
        <v>305</v>
      </c>
      <c r="F18" t="s">
        <v>306</v>
      </c>
      <c r="G18" t="b">
        <v>1</v>
      </c>
      <c r="H18" t="s">
        <v>307</v>
      </c>
      <c r="I18" t="s">
        <v>308</v>
      </c>
      <c r="J18" t="s">
        <v>302</v>
      </c>
      <c r="L18" s="3" t="s">
        <v>646</v>
      </c>
      <c r="M18" t="str">
        <f>IFERROR(_xlfn.XLOOKUP(B18,feature_catalog!B:B,feature_catalog!B:B),"")</f>
        <v>fouls_p90</v>
      </c>
    </row>
    <row r="19" spans="1:13" x14ac:dyDescent="0.4">
      <c r="A19" t="s">
        <v>287</v>
      </c>
      <c r="B19" t="s">
        <v>288</v>
      </c>
      <c r="C19" t="s">
        <v>11</v>
      </c>
      <c r="D19" t="s">
        <v>289</v>
      </c>
      <c r="E19" t="s">
        <v>290</v>
      </c>
      <c r="F19" t="s">
        <v>291</v>
      </c>
      <c r="G19" t="b">
        <v>0</v>
      </c>
      <c r="H19" t="s">
        <v>292</v>
      </c>
      <c r="I19" t="s">
        <v>293</v>
      </c>
      <c r="J19" t="s">
        <v>287</v>
      </c>
      <c r="K19">
        <v>2.5</v>
      </c>
      <c r="L19" s="5" t="s">
        <v>648</v>
      </c>
      <c r="M19" t="str">
        <f>IFERROR(_xlfn.XLOOKUP(B19,feature_catalog!B:B,feature_catalog!B:B),"")</f>
        <v>prog_carries_p90</v>
      </c>
    </row>
    <row r="20" spans="1:13" x14ac:dyDescent="0.4">
      <c r="A20" t="s">
        <v>106</v>
      </c>
      <c r="B20" t="s">
        <v>107</v>
      </c>
      <c r="C20" t="s">
        <v>11</v>
      </c>
      <c r="D20" t="s">
        <v>108</v>
      </c>
      <c r="E20" t="s">
        <v>109</v>
      </c>
      <c r="F20" t="s">
        <v>110</v>
      </c>
      <c r="G20" t="b">
        <v>0</v>
      </c>
      <c r="H20" t="s">
        <v>111</v>
      </c>
      <c r="I20" t="s">
        <v>112</v>
      </c>
      <c r="J20" t="s">
        <v>106</v>
      </c>
      <c r="K20">
        <v>2</v>
      </c>
      <c r="L20" s="3" t="s">
        <v>646</v>
      </c>
      <c r="M20" t="str">
        <f>IFERROR(_xlfn.XLOOKUP(B20,feature_catalog!B:B,feature_catalog!B:B),"")</f>
        <v>passes_f3_p90</v>
      </c>
    </row>
    <row r="21" spans="1:13" x14ac:dyDescent="0.4">
      <c r="A21" t="s">
        <v>38</v>
      </c>
      <c r="B21" t="s">
        <v>39</v>
      </c>
      <c r="C21" t="s">
        <v>11</v>
      </c>
      <c r="D21" t="s">
        <v>40</v>
      </c>
      <c r="E21" t="s">
        <v>41</v>
      </c>
      <c r="F21" t="s">
        <v>42</v>
      </c>
      <c r="G21" t="b">
        <v>0</v>
      </c>
      <c r="H21" t="s">
        <v>43</v>
      </c>
      <c r="I21" t="s">
        <v>44</v>
      </c>
      <c r="J21" t="s">
        <v>38</v>
      </c>
      <c r="L21" s="5" t="s">
        <v>648</v>
      </c>
      <c r="M21" t="str">
        <f>IFERROR(_xlfn.XLOOKUP(B21,feature_catalog!B:B,feature_catalog!B:B),"")</f>
        <v>xgbuildup_p90</v>
      </c>
    </row>
    <row r="22" spans="1:13" x14ac:dyDescent="0.4">
      <c r="A22" t="s">
        <v>31</v>
      </c>
      <c r="B22" t="s">
        <v>32</v>
      </c>
      <c r="C22" t="s">
        <v>11</v>
      </c>
      <c r="D22" t="s">
        <v>33</v>
      </c>
      <c r="E22" t="s">
        <v>34</v>
      </c>
      <c r="F22" t="s">
        <v>35</v>
      </c>
      <c r="G22" t="b">
        <v>0</v>
      </c>
      <c r="H22" t="s">
        <v>36</v>
      </c>
      <c r="I22" t="s">
        <v>37</v>
      </c>
      <c r="J22" t="s">
        <v>31</v>
      </c>
      <c r="K22">
        <v>2</v>
      </c>
      <c r="L22" s="3" t="s">
        <v>646</v>
      </c>
      <c r="M22" t="str">
        <f>IFERROR(_xlfn.XLOOKUP(B22,feature_catalog!B:B,feature_catalog!B:B),"")</f>
        <v>xgchain_p90</v>
      </c>
    </row>
    <row r="23" spans="1:13" x14ac:dyDescent="0.4">
      <c r="A23" t="s">
        <v>125</v>
      </c>
      <c r="B23" t="s">
        <v>126</v>
      </c>
      <c r="C23" t="s">
        <v>11</v>
      </c>
      <c r="D23" t="s">
        <v>127</v>
      </c>
      <c r="E23" t="s">
        <v>128</v>
      </c>
      <c r="F23" t="s">
        <v>129</v>
      </c>
      <c r="G23" t="b">
        <v>0</v>
      </c>
      <c r="H23" t="s">
        <v>130</v>
      </c>
      <c r="I23" t="s">
        <v>131</v>
      </c>
      <c r="J23" t="s">
        <v>125</v>
      </c>
      <c r="L23" s="3" t="s">
        <v>646</v>
      </c>
      <c r="M23" t="str">
        <f>IFERROR(_xlfn.XLOOKUP(B23,feature_catalog!B:B,feature_catalog!B:B),"")</f>
        <v>key_passes_p90</v>
      </c>
    </row>
    <row r="24" spans="1:13" x14ac:dyDescent="0.4">
      <c r="A24" t="s">
        <v>113</v>
      </c>
      <c r="B24" t="s">
        <v>114</v>
      </c>
      <c r="C24" t="s">
        <v>11</v>
      </c>
      <c r="D24" t="s">
        <v>115</v>
      </c>
      <c r="E24" t="s">
        <v>116</v>
      </c>
      <c r="F24" t="s">
        <v>96</v>
      </c>
      <c r="G24" t="b">
        <v>0</v>
      </c>
      <c r="H24" t="s">
        <v>117</v>
      </c>
      <c r="I24" t="s">
        <v>118</v>
      </c>
      <c r="J24" t="s">
        <v>113</v>
      </c>
      <c r="L24" s="3" t="s">
        <v>646</v>
      </c>
      <c r="M24" t="str">
        <f>IFERROR(_xlfn.XLOOKUP(B24,feature_catalog!B:B,feature_catalog!B:B),"")</f>
        <v>xa_p90</v>
      </c>
    </row>
    <row r="25" spans="1:13" x14ac:dyDescent="0.4">
      <c r="A25" t="s">
        <v>92</v>
      </c>
      <c r="B25" t="s">
        <v>93</v>
      </c>
      <c r="C25" t="s">
        <v>11</v>
      </c>
      <c r="D25" t="s">
        <v>94</v>
      </c>
      <c r="E25" t="s">
        <v>95</v>
      </c>
      <c r="F25" t="s">
        <v>96</v>
      </c>
      <c r="G25" t="b">
        <v>0</v>
      </c>
      <c r="H25" t="s">
        <v>97</v>
      </c>
      <c r="I25" t="s">
        <v>98</v>
      </c>
      <c r="J25" t="s">
        <v>92</v>
      </c>
      <c r="L25" s="4" t="s">
        <v>647</v>
      </c>
      <c r="M25" t="str">
        <f>IFERROR(_xlfn.XLOOKUP(B25,feature_catalog!B:B,feature_catalog!B:B),"")</f>
        <v>ast_p90</v>
      </c>
    </row>
    <row r="26" spans="1:13" x14ac:dyDescent="0.4">
      <c r="A26" t="s">
        <v>45</v>
      </c>
      <c r="B26" t="s">
        <v>46</v>
      </c>
      <c r="C26" t="s">
        <v>11</v>
      </c>
      <c r="D26" t="s">
        <v>47</v>
      </c>
      <c r="E26" t="s">
        <v>48</v>
      </c>
      <c r="F26" t="s">
        <v>49</v>
      </c>
      <c r="G26" t="b">
        <v>0</v>
      </c>
      <c r="H26" t="s">
        <v>50</v>
      </c>
      <c r="I26" t="s">
        <v>51</v>
      </c>
      <c r="J26" t="s">
        <v>45</v>
      </c>
      <c r="L26" s="4" t="s">
        <v>647</v>
      </c>
      <c r="M26" t="str">
        <f>IFERROR(_xlfn.XLOOKUP(B26,feature_catalog!B:B,feature_catalog!B:B),"")</f>
        <v>shots_p90</v>
      </c>
    </row>
    <row r="27" spans="1:13" x14ac:dyDescent="0.4">
      <c r="A27" t="s">
        <v>18</v>
      </c>
      <c r="B27" t="s">
        <v>19</v>
      </c>
      <c r="C27" t="s">
        <v>11</v>
      </c>
      <c r="D27" t="s">
        <v>20</v>
      </c>
      <c r="E27" t="s">
        <v>21</v>
      </c>
      <c r="F27" t="s">
        <v>22</v>
      </c>
      <c r="G27" t="b">
        <v>0</v>
      </c>
      <c r="H27" t="s">
        <v>23</v>
      </c>
      <c r="I27" t="s">
        <v>24</v>
      </c>
      <c r="J27" t="s">
        <v>18</v>
      </c>
      <c r="L27" s="4" t="s">
        <v>647</v>
      </c>
      <c r="M27" t="str">
        <f>IFERROR(_xlfn.XLOOKUP(B27,feature_catalog!B:B,feature_catalog!B:B),"")</f>
        <v>xg_p90</v>
      </c>
    </row>
    <row r="28" spans="1:13" x14ac:dyDescent="0.4">
      <c r="A28" t="s">
        <v>206</v>
      </c>
      <c r="B28" t="s">
        <v>207</v>
      </c>
      <c r="C28" t="s">
        <v>11</v>
      </c>
      <c r="D28" t="s">
        <v>208</v>
      </c>
      <c r="E28" t="s">
        <v>209</v>
      </c>
      <c r="F28" t="s">
        <v>49</v>
      </c>
      <c r="G28" t="b">
        <v>0</v>
      </c>
      <c r="H28" t="s">
        <v>210</v>
      </c>
      <c r="I28" t="s">
        <v>211</v>
      </c>
      <c r="J28" t="s">
        <v>206</v>
      </c>
      <c r="L28" s="3" t="s">
        <v>646</v>
      </c>
      <c r="M28" t="str">
        <f>IFERROR(_xlfn.XLOOKUP(B28,feature_catalog!B:B,feature_catalog!B:B),"")</f>
        <v>touches_box_p90</v>
      </c>
    </row>
    <row r="29" spans="1:13" x14ac:dyDescent="0.4">
      <c r="A29" t="s">
        <v>212</v>
      </c>
      <c r="B29" t="s">
        <v>213</v>
      </c>
      <c r="C29" t="s">
        <v>11</v>
      </c>
      <c r="D29" t="s">
        <v>214</v>
      </c>
      <c r="E29" t="s">
        <v>215</v>
      </c>
      <c r="F29" t="s">
        <v>216</v>
      </c>
      <c r="G29" t="b">
        <v>0</v>
      </c>
      <c r="H29" t="s">
        <v>217</v>
      </c>
      <c r="I29" t="s">
        <v>218</v>
      </c>
      <c r="J29" t="s">
        <v>212</v>
      </c>
      <c r="L29" s="3" t="s">
        <v>646</v>
      </c>
      <c r="M29" t="str">
        <f>IFERROR(_xlfn.XLOOKUP(B29,feature_catalog!B:B,feature_catalog!B:B),"")</f>
        <v>dribbles_p90</v>
      </c>
    </row>
    <row r="30" spans="1:13" x14ac:dyDescent="0.4">
      <c r="A30" t="s">
        <v>219</v>
      </c>
      <c r="B30" t="s">
        <v>220</v>
      </c>
      <c r="C30" t="s">
        <v>79</v>
      </c>
      <c r="D30" t="s">
        <v>221</v>
      </c>
      <c r="E30" t="s">
        <v>222</v>
      </c>
      <c r="F30" t="s">
        <v>223</v>
      </c>
      <c r="G30" t="b">
        <v>0</v>
      </c>
      <c r="H30" t="s">
        <v>224</v>
      </c>
      <c r="I30" t="s">
        <v>225</v>
      </c>
      <c r="J30" t="s">
        <v>219</v>
      </c>
      <c r="L30" s="4" t="s">
        <v>647</v>
      </c>
      <c r="M30" t="str">
        <f>IFERROR(_xlfn.XLOOKUP(B30,feature_catalog!B:B,feature_catalog!B:B),"")</f>
        <v>dribble_pct</v>
      </c>
    </row>
    <row r="31" spans="1:13" x14ac:dyDescent="0.4">
      <c r="A31" t="s">
        <v>199</v>
      </c>
      <c r="B31" t="s">
        <v>200</v>
      </c>
      <c r="C31" t="s">
        <v>11</v>
      </c>
      <c r="D31" t="s">
        <v>201</v>
      </c>
      <c r="E31" t="s">
        <v>202</v>
      </c>
      <c r="F31" t="s">
        <v>203</v>
      </c>
      <c r="G31" t="b">
        <v>0</v>
      </c>
      <c r="H31" t="s">
        <v>204</v>
      </c>
      <c r="I31" t="s">
        <v>205</v>
      </c>
      <c r="J31" t="s">
        <v>199</v>
      </c>
      <c r="K31">
        <v>1.5</v>
      </c>
      <c r="L31" s="5" t="s">
        <v>648</v>
      </c>
      <c r="M31" t="str">
        <f>IFERROR(_xlfn.XLOOKUP(B31,feature_catalog!B:B,feature_catalog!B:B),"")</f>
        <v>touches_p90</v>
      </c>
    </row>
    <row r="32" spans="1:13" x14ac:dyDescent="0.4">
      <c r="A32" t="s">
        <v>238</v>
      </c>
      <c r="B32" t="s">
        <v>239</v>
      </c>
      <c r="C32" t="s">
        <v>11</v>
      </c>
      <c r="D32" t="s">
        <v>240</v>
      </c>
      <c r="E32" t="s">
        <v>241</v>
      </c>
      <c r="F32" t="s">
        <v>242</v>
      </c>
      <c r="G32" t="b">
        <v>1</v>
      </c>
      <c r="H32" t="s">
        <v>243</v>
      </c>
      <c r="I32" t="s">
        <v>244</v>
      </c>
      <c r="J32" t="s">
        <v>238</v>
      </c>
      <c r="K32">
        <v>1</v>
      </c>
      <c r="L32" s="3" t="s">
        <v>646</v>
      </c>
      <c r="M32" t="str">
        <f>IFERROR(_xlfn.XLOOKUP(B32,feature_catalog!B:B,feature_catalog!B:B),"")</f>
        <v>poss_lost_p90</v>
      </c>
    </row>
    <row r="33" spans="1:13" x14ac:dyDescent="0.4">
      <c r="A33" t="s">
        <v>159</v>
      </c>
      <c r="B33" t="s">
        <v>160</v>
      </c>
      <c r="C33" t="s">
        <v>79</v>
      </c>
      <c r="D33" t="s">
        <v>161</v>
      </c>
      <c r="E33" t="s">
        <v>162</v>
      </c>
      <c r="F33" t="s">
        <v>163</v>
      </c>
      <c r="G33" t="b">
        <v>0</v>
      </c>
      <c r="H33" t="s">
        <v>164</v>
      </c>
      <c r="I33" t="s">
        <v>165</v>
      </c>
      <c r="J33" t="s">
        <v>159</v>
      </c>
      <c r="K33">
        <v>2</v>
      </c>
      <c r="L33" s="3" t="s">
        <v>646</v>
      </c>
      <c r="M33" t="str">
        <f>IFERROR(_xlfn.XLOOKUP(B33,feature_catalog!B:B,feature_catalog!B:B),"")</f>
        <v>pass_acc_pct</v>
      </c>
    </row>
    <row r="34" spans="1:13" x14ac:dyDescent="0.4">
      <c r="A34" t="s">
        <v>153</v>
      </c>
      <c r="B34" t="s">
        <v>154</v>
      </c>
      <c r="C34" t="s">
        <v>11</v>
      </c>
      <c r="D34" t="s">
        <v>155</v>
      </c>
      <c r="E34" t="s">
        <v>156</v>
      </c>
      <c r="F34" t="s">
        <v>110</v>
      </c>
      <c r="G34" t="b">
        <v>0</v>
      </c>
      <c r="H34" t="s">
        <v>157</v>
      </c>
      <c r="I34" t="s">
        <v>158</v>
      </c>
      <c r="J34" t="s">
        <v>153</v>
      </c>
      <c r="L34" s="3" t="s">
        <v>646</v>
      </c>
      <c r="M34" t="str">
        <f>IFERROR(_xlfn.XLOOKUP(B34,feature_catalog!B:B,feature_catalog!B:B),"")</f>
        <v>acc_passes_p90</v>
      </c>
    </row>
    <row r="35" spans="1:13" x14ac:dyDescent="0.4">
      <c r="A35" t="s">
        <v>572</v>
      </c>
      <c r="B35" t="s">
        <v>573</v>
      </c>
      <c r="C35" t="s">
        <v>486</v>
      </c>
      <c r="D35" t="s">
        <v>574</v>
      </c>
      <c r="E35" t="s">
        <v>575</v>
      </c>
      <c r="F35" t="s">
        <v>489</v>
      </c>
      <c r="G35" t="b">
        <v>0</v>
      </c>
      <c r="H35" t="s">
        <v>576</v>
      </c>
      <c r="I35" t="s">
        <v>577</v>
      </c>
      <c r="J35" t="s">
        <v>572</v>
      </c>
      <c r="L35" s="3" t="s">
        <v>646</v>
      </c>
      <c r="M35" t="str">
        <f>IFERROR(_xlfn.XLOOKUP(B35,feature_catalog!B:B,feature_catalog!B:B),"")</f>
        <v>avg_x</v>
      </c>
    </row>
    <row r="36" spans="1:13" x14ac:dyDescent="0.4">
      <c r="A36" t="s">
        <v>578</v>
      </c>
      <c r="B36" t="s">
        <v>579</v>
      </c>
      <c r="C36" t="s">
        <v>486</v>
      </c>
      <c r="D36" t="s">
        <v>580</v>
      </c>
      <c r="E36" t="s">
        <v>581</v>
      </c>
      <c r="F36" t="s">
        <v>489</v>
      </c>
      <c r="G36" t="b">
        <v>0</v>
      </c>
      <c r="H36" t="s">
        <v>582</v>
      </c>
      <c r="I36" t="s">
        <v>583</v>
      </c>
      <c r="J36" t="s">
        <v>578</v>
      </c>
      <c r="L36" s="4" t="s">
        <v>647</v>
      </c>
      <c r="M36" t="str">
        <f>IFERROR(_xlfn.XLOOKUP(B36,feature_catalog!B:B,feature_catalog!B:B),"")</f>
        <v>avg_y</v>
      </c>
    </row>
    <row r="37" spans="1:13" x14ac:dyDescent="0.4">
      <c r="A37" t="s">
        <v>484</v>
      </c>
      <c r="B37" t="s">
        <v>485</v>
      </c>
      <c r="C37" t="s">
        <v>486</v>
      </c>
      <c r="D37" t="s">
        <v>487</v>
      </c>
      <c r="E37" t="s">
        <v>488</v>
      </c>
      <c r="F37" t="s">
        <v>489</v>
      </c>
      <c r="G37" t="b">
        <v>0</v>
      </c>
      <c r="H37" t="s">
        <v>490</v>
      </c>
      <c r="I37" t="s">
        <v>491</v>
      </c>
      <c r="J37" t="s">
        <v>484</v>
      </c>
      <c r="L37" s="4" t="s">
        <v>647</v>
      </c>
      <c r="M37" t="str">
        <f>IFERROR(_xlfn.XLOOKUP(B37,feature_catalog!B:B,feature_catalog!B:B),"")</f>
        <v>ss_rating</v>
      </c>
    </row>
    <row r="38" spans="1:13" x14ac:dyDescent="0.4">
      <c r="A38" t="s">
        <v>9</v>
      </c>
      <c r="B38" t="s">
        <v>10</v>
      </c>
      <c r="C38" t="s">
        <v>11</v>
      </c>
      <c r="D38" t="s">
        <v>12</v>
      </c>
      <c r="E38" t="s">
        <v>13</v>
      </c>
      <c r="F38" t="s">
        <v>14</v>
      </c>
      <c r="G38" t="b">
        <v>0</v>
      </c>
      <c r="H38" t="s">
        <v>16</v>
      </c>
      <c r="I38" t="s">
        <v>17</v>
      </c>
      <c r="J38" t="s">
        <v>9</v>
      </c>
      <c r="L38" s="5" t="s">
        <v>648</v>
      </c>
      <c r="M38" t="str">
        <f>IFERROR(_xlfn.XLOOKUP(B38,feature_catalog!B:B,feature_catalog!B:B),"")</f>
        <v>goals_p90</v>
      </c>
    </row>
    <row r="39" spans="1:13" x14ac:dyDescent="0.4">
      <c r="A39" t="s">
        <v>25</v>
      </c>
      <c r="B39" t="s">
        <v>26</v>
      </c>
      <c r="C39" t="s">
        <v>11</v>
      </c>
      <c r="D39" t="s">
        <v>27</v>
      </c>
      <c r="E39" t="s">
        <v>28</v>
      </c>
      <c r="F39" t="s">
        <v>22</v>
      </c>
      <c r="G39" t="b">
        <v>0</v>
      </c>
      <c r="H39" t="s">
        <v>29</v>
      </c>
      <c r="I39" t="s">
        <v>30</v>
      </c>
      <c r="J39" t="s">
        <v>25</v>
      </c>
      <c r="K39">
        <v>1</v>
      </c>
      <c r="L39" s="5" t="s">
        <v>648</v>
      </c>
      <c r="M39" t="str">
        <f>IFERROR(_xlfn.XLOOKUP(B39,feature_catalog!B:B,feature_catalog!B:B),"")</f>
        <v>npxg_p90</v>
      </c>
    </row>
    <row r="40" spans="1:13" x14ac:dyDescent="0.4">
      <c r="A40" t="s">
        <v>52</v>
      </c>
      <c r="B40" t="s">
        <v>53</v>
      </c>
      <c r="C40" t="s">
        <v>11</v>
      </c>
      <c r="D40" t="s">
        <v>54</v>
      </c>
      <c r="E40" t="s">
        <v>55</v>
      </c>
      <c r="F40" t="s">
        <v>49</v>
      </c>
      <c r="G40" t="b">
        <v>0</v>
      </c>
      <c r="H40" t="s">
        <v>56</v>
      </c>
      <c r="I40" t="s">
        <v>57</v>
      </c>
      <c r="J40" t="s">
        <v>52</v>
      </c>
      <c r="L40" s="5" t="s">
        <v>648</v>
      </c>
      <c r="M40" t="str">
        <f>IFERROR(_xlfn.XLOOKUP(B40,feature_catalog!B:B,feature_catalog!B:B),"")</f>
        <v>shots_inside_p90</v>
      </c>
    </row>
    <row r="41" spans="1:13" x14ac:dyDescent="0.4">
      <c r="A41" t="s">
        <v>71</v>
      </c>
      <c r="B41" t="s">
        <v>72</v>
      </c>
      <c r="C41" t="s">
        <v>11</v>
      </c>
      <c r="D41" t="s">
        <v>73</v>
      </c>
      <c r="E41" t="s">
        <v>74</v>
      </c>
      <c r="F41" t="s">
        <v>49</v>
      </c>
      <c r="G41" t="b">
        <v>0</v>
      </c>
      <c r="H41" t="s">
        <v>75</v>
      </c>
      <c r="I41" t="s">
        <v>76</v>
      </c>
      <c r="J41" t="s">
        <v>71</v>
      </c>
      <c r="K41">
        <v>1</v>
      </c>
      <c r="L41" s="3" t="s">
        <v>646</v>
      </c>
      <c r="M41" t="str">
        <f>IFERROR(_xlfn.XLOOKUP(B41,feature_catalog!B:B,feature_catalog!B:B),"")</f>
        <v>shots_ot_p90</v>
      </c>
    </row>
    <row r="42" spans="1:13" x14ac:dyDescent="0.4">
      <c r="A42" t="s">
        <v>77</v>
      </c>
      <c r="B42" t="s">
        <v>78</v>
      </c>
      <c r="C42" t="s">
        <v>79</v>
      </c>
      <c r="D42" t="s">
        <v>80</v>
      </c>
      <c r="E42" t="s">
        <v>81</v>
      </c>
      <c r="F42" t="s">
        <v>49</v>
      </c>
      <c r="G42" t="b">
        <v>0</v>
      </c>
      <c r="H42" t="s">
        <v>82</v>
      </c>
      <c r="I42" t="s">
        <v>83</v>
      </c>
      <c r="J42" t="s">
        <v>77</v>
      </c>
      <c r="L42" s="3" t="s">
        <v>646</v>
      </c>
      <c r="M42" t="str">
        <f>IFERROR(_xlfn.XLOOKUP(B42,feature_catalog!B:B,feature_catalog!B:B),"")</f>
        <v>goal_conv_pct</v>
      </c>
    </row>
    <row r="43" spans="1:13" x14ac:dyDescent="0.4">
      <c r="A43" t="s">
        <v>58</v>
      </c>
      <c r="B43" t="s">
        <v>59</v>
      </c>
      <c r="C43" t="s">
        <v>11</v>
      </c>
      <c r="D43" t="s">
        <v>60</v>
      </c>
      <c r="E43" t="s">
        <v>61</v>
      </c>
      <c r="F43" t="s">
        <v>62</v>
      </c>
      <c r="G43" t="b">
        <v>0</v>
      </c>
      <c r="H43" t="s">
        <v>63</v>
      </c>
      <c r="I43" t="s">
        <v>64</v>
      </c>
      <c r="J43" t="s">
        <v>58</v>
      </c>
      <c r="L43" s="4" t="s">
        <v>647</v>
      </c>
      <c r="M43" t="str">
        <f>IFERROR(_xlfn.XLOOKUP(B43,feature_catalog!B:B,feature_catalog!B:B),"")</f>
        <v>headed_goals_p90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99429-515C-4F3E-9576-EC2093143A9C}">
  <dimension ref="A1:M41"/>
  <sheetViews>
    <sheetView topLeftCell="H1" workbookViewId="0">
      <pane ySplit="1" topLeftCell="A11" activePane="bottomLeft" state="frozen"/>
      <selection pane="bottomLeft" activeCell="K16" sqref="K16"/>
    </sheetView>
  </sheetViews>
  <sheetFormatPr baseColWidth="10" defaultRowHeight="14.6" x14ac:dyDescent="0.4"/>
  <cols>
    <col min="1" max="1" width="25.4609375" bestFit="1" customWidth="1"/>
    <col min="2" max="2" width="16.84375" bestFit="1" customWidth="1"/>
    <col min="3" max="3" width="4.4609375" bestFit="1" customWidth="1"/>
    <col min="4" max="4" width="234.3046875" bestFit="1" customWidth="1"/>
    <col min="5" max="5" width="137.61328125" bestFit="1" customWidth="1"/>
    <col min="6" max="6" width="20.15234375" bestFit="1" customWidth="1"/>
    <col min="7" max="7" width="7.765625" bestFit="1" customWidth="1"/>
    <col min="8" max="8" width="20.84375" bestFit="1" customWidth="1"/>
    <col min="9" max="9" width="18.4609375" bestFit="1" customWidth="1"/>
    <col min="10" max="10" width="25.4609375" bestFit="1" customWidth="1"/>
    <col min="11" max="11" width="9.84375" customWidth="1"/>
    <col min="12" max="12" width="11" bestFit="1" customWidth="1"/>
  </cols>
  <sheetData>
    <row r="1" spans="1:13" x14ac:dyDescent="0.4">
      <c r="A1" s="9" t="s">
        <v>0</v>
      </c>
      <c r="B1" s="9" t="s">
        <v>1</v>
      </c>
      <c r="C1" s="9" t="s">
        <v>2</v>
      </c>
      <c r="D1" s="9" t="s">
        <v>3</v>
      </c>
      <c r="E1" s="9" t="s">
        <v>4</v>
      </c>
      <c r="F1" s="9" t="s">
        <v>5</v>
      </c>
      <c r="G1" s="9" t="s">
        <v>6</v>
      </c>
      <c r="H1" s="9" t="s">
        <v>7</v>
      </c>
      <c r="I1" s="9" t="s">
        <v>8</v>
      </c>
      <c r="J1" s="9" t="s">
        <v>0</v>
      </c>
      <c r="K1" s="9"/>
      <c r="L1" s="9" t="s">
        <v>645</v>
      </c>
    </row>
    <row r="2" spans="1:13" x14ac:dyDescent="0.4">
      <c r="A2" t="s">
        <v>125</v>
      </c>
      <c r="B2" t="s">
        <v>126</v>
      </c>
      <c r="C2" t="s">
        <v>11</v>
      </c>
      <c r="D2" t="s">
        <v>127</v>
      </c>
      <c r="E2" t="s">
        <v>128</v>
      </c>
      <c r="F2" t="s">
        <v>129</v>
      </c>
      <c r="G2" t="b">
        <v>0</v>
      </c>
      <c r="H2" t="s">
        <v>130</v>
      </c>
      <c r="I2" t="s">
        <v>131</v>
      </c>
      <c r="J2" t="s">
        <v>125</v>
      </c>
      <c r="L2" s="5" t="s">
        <v>648</v>
      </c>
      <c r="M2" t="str">
        <f>IFERROR(_xlfn.XLOOKUP(B2,feature_catalog!B:B,feature_catalog!B:B),"")</f>
        <v>key_passes_p90</v>
      </c>
    </row>
    <row r="3" spans="1:13" x14ac:dyDescent="0.4">
      <c r="A3" t="s">
        <v>113</v>
      </c>
      <c r="B3" t="s">
        <v>114</v>
      </c>
      <c r="C3" t="s">
        <v>11</v>
      </c>
      <c r="D3" t="s">
        <v>115</v>
      </c>
      <c r="E3" t="s">
        <v>116</v>
      </c>
      <c r="F3" t="s">
        <v>96</v>
      </c>
      <c r="G3" t="b">
        <v>0</v>
      </c>
      <c r="H3" t="s">
        <v>117</v>
      </c>
      <c r="I3" t="s">
        <v>118</v>
      </c>
      <c r="J3" t="s">
        <v>113</v>
      </c>
      <c r="K3">
        <v>1.5</v>
      </c>
      <c r="L3" s="5" t="s">
        <v>648</v>
      </c>
      <c r="M3" t="str">
        <f>IFERROR(_xlfn.XLOOKUP(B3,feature_catalog!B:B,feature_catalog!B:B),"")</f>
        <v>xa_p90</v>
      </c>
    </row>
    <row r="4" spans="1:13" x14ac:dyDescent="0.4">
      <c r="A4" t="s">
        <v>119</v>
      </c>
      <c r="B4" t="s">
        <v>120</v>
      </c>
      <c r="C4" t="s">
        <v>11</v>
      </c>
      <c r="D4" t="s">
        <v>121</v>
      </c>
      <c r="E4" t="s">
        <v>122</v>
      </c>
      <c r="F4" t="s">
        <v>96</v>
      </c>
      <c r="G4" t="b">
        <v>0</v>
      </c>
      <c r="H4" t="s">
        <v>123</v>
      </c>
      <c r="I4" t="s">
        <v>124</v>
      </c>
      <c r="J4" t="s">
        <v>119</v>
      </c>
      <c r="L4" s="4" t="s">
        <v>647</v>
      </c>
      <c r="M4" t="str">
        <f>IFERROR(_xlfn.XLOOKUP(B4,feature_catalog!B:B,feature_catalog!B:B),"")</f>
        <v>xa_us_p90</v>
      </c>
    </row>
    <row r="5" spans="1:13" x14ac:dyDescent="0.4">
      <c r="A5" t="s">
        <v>92</v>
      </c>
      <c r="B5" t="s">
        <v>93</v>
      </c>
      <c r="C5" t="s">
        <v>11</v>
      </c>
      <c r="D5" t="s">
        <v>94</v>
      </c>
      <c r="E5" t="s">
        <v>95</v>
      </c>
      <c r="F5" t="s">
        <v>96</v>
      </c>
      <c r="G5" t="b">
        <v>0</v>
      </c>
      <c r="H5" t="s">
        <v>97</v>
      </c>
      <c r="I5" t="s">
        <v>98</v>
      </c>
      <c r="J5" t="s">
        <v>92</v>
      </c>
      <c r="L5" s="5" t="s">
        <v>648</v>
      </c>
      <c r="M5" t="str">
        <f>IFERROR(_xlfn.XLOOKUP(B5,feature_catalog!B:B,feature_catalog!B:B),"")</f>
        <v>ast_p90</v>
      </c>
    </row>
    <row r="6" spans="1:13" x14ac:dyDescent="0.4">
      <c r="A6" t="s">
        <v>132</v>
      </c>
      <c r="B6" t="s">
        <v>133</v>
      </c>
      <c r="C6" t="s">
        <v>11</v>
      </c>
      <c r="D6" t="s">
        <v>134</v>
      </c>
      <c r="E6" t="s">
        <v>135</v>
      </c>
      <c r="F6" t="s">
        <v>136</v>
      </c>
      <c r="G6" t="b">
        <v>0</v>
      </c>
      <c r="H6" t="s">
        <v>137</v>
      </c>
      <c r="I6" t="s">
        <v>138</v>
      </c>
      <c r="J6" t="s">
        <v>132</v>
      </c>
      <c r="K6">
        <v>2</v>
      </c>
      <c r="L6" s="5" t="s">
        <v>648</v>
      </c>
      <c r="M6" t="str">
        <f>IFERROR(_xlfn.XLOOKUP(B6,feature_catalog!B:B,feature_catalog!B:B),"")</f>
        <v>big_chances_p90</v>
      </c>
    </row>
    <row r="7" spans="1:13" x14ac:dyDescent="0.4">
      <c r="A7" t="s">
        <v>139</v>
      </c>
      <c r="B7" t="s">
        <v>140</v>
      </c>
      <c r="C7" t="s">
        <v>11</v>
      </c>
      <c r="D7" t="s">
        <v>141</v>
      </c>
      <c r="E7" t="s">
        <v>142</v>
      </c>
      <c r="F7" t="s">
        <v>143</v>
      </c>
      <c r="G7" t="b">
        <v>0</v>
      </c>
      <c r="H7" t="s">
        <v>144</v>
      </c>
      <c r="I7" t="s">
        <v>145</v>
      </c>
      <c r="J7" t="s">
        <v>139</v>
      </c>
      <c r="L7" s="5" t="s">
        <v>648</v>
      </c>
      <c r="M7" t="str">
        <f>IFERROR(_xlfn.XLOOKUP(B7,feature_catalog!B:B,feature_catalog!B:B),"")</f>
        <v/>
      </c>
    </row>
    <row r="8" spans="1:13" x14ac:dyDescent="0.4">
      <c r="A8" t="s">
        <v>106</v>
      </c>
      <c r="B8" t="s">
        <v>107</v>
      </c>
      <c r="C8" t="s">
        <v>11</v>
      </c>
      <c r="D8" t="s">
        <v>108</v>
      </c>
      <c r="E8" t="s">
        <v>109</v>
      </c>
      <c r="F8" t="s">
        <v>110</v>
      </c>
      <c r="G8" t="b">
        <v>0</v>
      </c>
      <c r="H8" t="s">
        <v>111</v>
      </c>
      <c r="I8" t="s">
        <v>112</v>
      </c>
      <c r="J8" t="s">
        <v>106</v>
      </c>
      <c r="K8">
        <v>1</v>
      </c>
      <c r="L8" s="3" t="s">
        <v>646</v>
      </c>
      <c r="M8" t="str">
        <f>IFERROR(_xlfn.XLOOKUP(B8,feature_catalog!B:B,feature_catalog!B:B),"")</f>
        <v>passes_f3_p90</v>
      </c>
    </row>
    <row r="9" spans="1:13" x14ac:dyDescent="0.4">
      <c r="A9" t="s">
        <v>99</v>
      </c>
      <c r="B9" t="s">
        <v>100</v>
      </c>
      <c r="C9" t="s">
        <v>11</v>
      </c>
      <c r="D9" t="s">
        <v>101</v>
      </c>
      <c r="E9" t="s">
        <v>102</v>
      </c>
      <c r="F9" t="s">
        <v>103</v>
      </c>
      <c r="G9" t="b">
        <v>0</v>
      </c>
      <c r="H9" t="s">
        <v>104</v>
      </c>
      <c r="I9" t="s">
        <v>105</v>
      </c>
      <c r="J9" t="s">
        <v>99</v>
      </c>
      <c r="L9" s="3" t="s">
        <v>646</v>
      </c>
      <c r="M9" t="str">
        <f>IFERROR(_xlfn.XLOOKUP(B9,feature_catalog!B:B,feature_catalog!B:B),"")</f>
        <v>pass_to_assist_p90</v>
      </c>
    </row>
    <row r="10" spans="1:13" x14ac:dyDescent="0.4">
      <c r="A10" t="s">
        <v>38</v>
      </c>
      <c r="B10" t="s">
        <v>39</v>
      </c>
      <c r="C10" t="s">
        <v>11</v>
      </c>
      <c r="D10" t="s">
        <v>40</v>
      </c>
      <c r="E10" t="s">
        <v>41</v>
      </c>
      <c r="F10" t="s">
        <v>42</v>
      </c>
      <c r="G10" t="b">
        <v>0</v>
      </c>
      <c r="H10" t="s">
        <v>43</v>
      </c>
      <c r="I10" t="s">
        <v>44</v>
      </c>
      <c r="J10" t="s">
        <v>38</v>
      </c>
      <c r="K10">
        <v>1.5</v>
      </c>
      <c r="L10" s="5" t="s">
        <v>648</v>
      </c>
      <c r="M10" t="str">
        <f>IFERROR(_xlfn.XLOOKUP(B10,feature_catalog!B:B,feature_catalog!B:B),"")</f>
        <v>xgbuildup_p90</v>
      </c>
    </row>
    <row r="11" spans="1:13" x14ac:dyDescent="0.4">
      <c r="A11" t="s">
        <v>31</v>
      </c>
      <c r="B11" t="s">
        <v>32</v>
      </c>
      <c r="C11" t="s">
        <v>11</v>
      </c>
      <c r="D11" t="s">
        <v>33</v>
      </c>
      <c r="E11" t="s">
        <v>34</v>
      </c>
      <c r="F11" t="s">
        <v>35</v>
      </c>
      <c r="G11" t="b">
        <v>0</v>
      </c>
      <c r="H11" t="s">
        <v>36</v>
      </c>
      <c r="I11" t="s">
        <v>37</v>
      </c>
      <c r="J11" t="s">
        <v>31</v>
      </c>
      <c r="K11">
        <v>1</v>
      </c>
      <c r="L11" s="3" t="s">
        <v>646</v>
      </c>
      <c r="M11" t="str">
        <f>IFERROR(_xlfn.XLOOKUP(B11,feature_catalog!B:B,feature_catalog!B:B),"")</f>
        <v>xgchain_p90</v>
      </c>
    </row>
    <row r="12" spans="1:13" x14ac:dyDescent="0.4">
      <c r="A12" t="s">
        <v>159</v>
      </c>
      <c r="B12" t="s">
        <v>160</v>
      </c>
      <c r="C12" t="s">
        <v>79</v>
      </c>
      <c r="D12" t="s">
        <v>161</v>
      </c>
      <c r="E12" t="s">
        <v>162</v>
      </c>
      <c r="F12" t="s">
        <v>163</v>
      </c>
      <c r="G12" t="b">
        <v>0</v>
      </c>
      <c r="H12" t="s">
        <v>164</v>
      </c>
      <c r="I12" t="s">
        <v>165</v>
      </c>
      <c r="J12" t="s">
        <v>159</v>
      </c>
      <c r="K12">
        <v>2</v>
      </c>
      <c r="L12" s="5" t="s">
        <v>648</v>
      </c>
      <c r="M12" t="str">
        <f>IFERROR(_xlfn.XLOOKUP(B12,feature_catalog!B:B,feature_catalog!B:B),"")</f>
        <v>pass_acc_pct</v>
      </c>
    </row>
    <row r="13" spans="1:13" x14ac:dyDescent="0.4">
      <c r="A13" t="s">
        <v>153</v>
      </c>
      <c r="B13" t="s">
        <v>154</v>
      </c>
      <c r="C13" t="s">
        <v>11</v>
      </c>
      <c r="D13" t="s">
        <v>155</v>
      </c>
      <c r="E13" t="s">
        <v>156</v>
      </c>
      <c r="F13" t="s">
        <v>110</v>
      </c>
      <c r="G13" t="b">
        <v>0</v>
      </c>
      <c r="H13" t="s">
        <v>157</v>
      </c>
      <c r="I13" t="s">
        <v>158</v>
      </c>
      <c r="J13" t="s">
        <v>153</v>
      </c>
      <c r="L13" s="3" t="s">
        <v>646</v>
      </c>
      <c r="M13" t="str">
        <f>IFERROR(_xlfn.XLOOKUP(B13,feature_catalog!B:B,feature_catalog!B:B),"")</f>
        <v>acc_passes_p90</v>
      </c>
    </row>
    <row r="14" spans="1:13" x14ac:dyDescent="0.4">
      <c r="A14" t="s">
        <v>212</v>
      </c>
      <c r="B14" t="s">
        <v>213</v>
      </c>
      <c r="C14" t="s">
        <v>11</v>
      </c>
      <c r="D14" t="s">
        <v>214</v>
      </c>
      <c r="E14" t="s">
        <v>215</v>
      </c>
      <c r="F14" t="s">
        <v>216</v>
      </c>
      <c r="G14" t="b">
        <v>0</v>
      </c>
      <c r="H14" t="s">
        <v>217</v>
      </c>
      <c r="I14" t="s">
        <v>218</v>
      </c>
      <c r="J14" t="s">
        <v>212</v>
      </c>
      <c r="K14">
        <v>1</v>
      </c>
      <c r="L14" s="5" t="s">
        <v>648</v>
      </c>
      <c r="M14" t="str">
        <f>IFERROR(_xlfn.XLOOKUP(B14,feature_catalog!B:B,feature_catalog!B:B),"")</f>
        <v>dribbles_p90</v>
      </c>
    </row>
    <row r="15" spans="1:13" x14ac:dyDescent="0.4">
      <c r="A15" t="s">
        <v>219</v>
      </c>
      <c r="B15" t="s">
        <v>220</v>
      </c>
      <c r="C15" t="s">
        <v>79</v>
      </c>
      <c r="D15" t="s">
        <v>221</v>
      </c>
      <c r="E15" t="s">
        <v>222</v>
      </c>
      <c r="F15" t="s">
        <v>223</v>
      </c>
      <c r="G15" t="b">
        <v>0</v>
      </c>
      <c r="H15" t="s">
        <v>224</v>
      </c>
      <c r="I15" t="s">
        <v>225</v>
      </c>
      <c r="J15" t="s">
        <v>219</v>
      </c>
      <c r="K15">
        <v>1</v>
      </c>
      <c r="L15" s="3" t="s">
        <v>646</v>
      </c>
      <c r="M15" t="str">
        <f>IFERROR(_xlfn.XLOOKUP(B15,feature_catalog!B:B,feature_catalog!B:B),"")</f>
        <v>dribble_pct</v>
      </c>
    </row>
    <row r="16" spans="1:13" x14ac:dyDescent="0.4">
      <c r="A16" t="s">
        <v>199</v>
      </c>
      <c r="B16" t="s">
        <v>200</v>
      </c>
      <c r="C16" t="s">
        <v>11</v>
      </c>
      <c r="D16" t="s">
        <v>201</v>
      </c>
      <c r="E16" t="s">
        <v>202</v>
      </c>
      <c r="F16" t="s">
        <v>203</v>
      </c>
      <c r="G16" t="b">
        <v>0</v>
      </c>
      <c r="H16" t="s">
        <v>204</v>
      </c>
      <c r="I16" t="s">
        <v>205</v>
      </c>
      <c r="J16" t="s">
        <v>199</v>
      </c>
      <c r="K16">
        <v>1</v>
      </c>
      <c r="L16" s="3" t="s">
        <v>646</v>
      </c>
      <c r="M16" t="str">
        <f>IFERROR(_xlfn.XLOOKUP(B16,feature_catalog!B:B,feature_catalog!B:B),"")</f>
        <v>touches_p90</v>
      </c>
    </row>
    <row r="17" spans="1:13" x14ac:dyDescent="0.4">
      <c r="A17" t="s">
        <v>238</v>
      </c>
      <c r="B17" t="s">
        <v>239</v>
      </c>
      <c r="C17" t="s">
        <v>11</v>
      </c>
      <c r="D17" t="s">
        <v>240</v>
      </c>
      <c r="E17" t="s">
        <v>241</v>
      </c>
      <c r="F17" t="s">
        <v>242</v>
      </c>
      <c r="G17" t="b">
        <v>1</v>
      </c>
      <c r="H17" t="s">
        <v>243</v>
      </c>
      <c r="I17" t="s">
        <v>244</v>
      </c>
      <c r="J17" t="s">
        <v>238</v>
      </c>
      <c r="K17">
        <v>1</v>
      </c>
      <c r="L17" s="5" t="s">
        <v>648</v>
      </c>
      <c r="M17" t="str">
        <f>IFERROR(_xlfn.XLOOKUP(B17,feature_catalog!B:B,feature_catalog!B:B),"")</f>
        <v>poss_lost_p90</v>
      </c>
    </row>
    <row r="18" spans="1:13" x14ac:dyDescent="0.4">
      <c r="A18" t="s">
        <v>232</v>
      </c>
      <c r="B18" t="s">
        <v>233</v>
      </c>
      <c r="C18" t="s">
        <v>11</v>
      </c>
      <c r="D18" t="s">
        <v>234</v>
      </c>
      <c r="E18" t="s">
        <v>235</v>
      </c>
      <c r="F18" t="s">
        <v>216</v>
      </c>
      <c r="G18" t="b">
        <v>1</v>
      </c>
      <c r="H18" t="s">
        <v>236</v>
      </c>
      <c r="I18" t="s">
        <v>237</v>
      </c>
      <c r="J18" t="s">
        <v>232</v>
      </c>
      <c r="L18" s="3" t="s">
        <v>646</v>
      </c>
      <c r="M18" t="str">
        <f>IFERROR(_xlfn.XLOOKUP(B18,feature_catalog!B:B,feature_catalog!B:B),"")</f>
        <v>dispossessed_p90</v>
      </c>
    </row>
    <row r="19" spans="1:13" x14ac:dyDescent="0.4">
      <c r="A19" t="s">
        <v>45</v>
      </c>
      <c r="B19" t="s">
        <v>46</v>
      </c>
      <c r="C19" t="s">
        <v>11</v>
      </c>
      <c r="D19" t="s">
        <v>47</v>
      </c>
      <c r="E19" t="s">
        <v>48</v>
      </c>
      <c r="F19" t="s">
        <v>49</v>
      </c>
      <c r="G19" t="b">
        <v>0</v>
      </c>
      <c r="H19" t="s">
        <v>50</v>
      </c>
      <c r="I19" t="s">
        <v>51</v>
      </c>
      <c r="J19" t="s">
        <v>45</v>
      </c>
      <c r="L19" s="3" t="s">
        <v>646</v>
      </c>
      <c r="M19" t="str">
        <f>IFERROR(_xlfn.XLOOKUP(B19,feature_catalog!B:B,feature_catalog!B:B),"")</f>
        <v>shots_p90</v>
      </c>
    </row>
    <row r="20" spans="1:13" x14ac:dyDescent="0.4">
      <c r="A20" t="s">
        <v>52</v>
      </c>
      <c r="B20" t="s">
        <v>53</v>
      </c>
      <c r="C20" t="s">
        <v>11</v>
      </c>
      <c r="D20" t="s">
        <v>54</v>
      </c>
      <c r="E20" t="s">
        <v>55</v>
      </c>
      <c r="F20" t="s">
        <v>49</v>
      </c>
      <c r="G20" t="b">
        <v>0</v>
      </c>
      <c r="H20" t="s">
        <v>56</v>
      </c>
      <c r="I20" t="s">
        <v>57</v>
      </c>
      <c r="J20" t="s">
        <v>52</v>
      </c>
      <c r="L20" s="3" t="s">
        <v>646</v>
      </c>
      <c r="M20" t="str">
        <f>IFERROR(_xlfn.XLOOKUP(B20,feature_catalog!B:B,feature_catalog!B:B),"")</f>
        <v>shots_inside_p90</v>
      </c>
    </row>
    <row r="21" spans="1:13" x14ac:dyDescent="0.4">
      <c r="A21" t="s">
        <v>18</v>
      </c>
      <c r="B21" t="s">
        <v>19</v>
      </c>
      <c r="C21" t="s">
        <v>11</v>
      </c>
      <c r="D21" t="s">
        <v>20</v>
      </c>
      <c r="E21" t="s">
        <v>21</v>
      </c>
      <c r="F21" t="s">
        <v>22</v>
      </c>
      <c r="G21" t="b">
        <v>0</v>
      </c>
      <c r="H21" t="s">
        <v>23</v>
      </c>
      <c r="I21" t="s">
        <v>24</v>
      </c>
      <c r="J21" t="s">
        <v>18</v>
      </c>
      <c r="L21" s="3" t="s">
        <v>646</v>
      </c>
      <c r="M21" t="str">
        <f>IFERROR(_xlfn.XLOOKUP(B21,feature_catalog!B:B,feature_catalog!B:B),"")</f>
        <v>xg_p90</v>
      </c>
    </row>
    <row r="22" spans="1:13" x14ac:dyDescent="0.4">
      <c r="A22" t="s">
        <v>25</v>
      </c>
      <c r="B22" t="s">
        <v>26</v>
      </c>
      <c r="C22" t="s">
        <v>11</v>
      </c>
      <c r="D22" t="s">
        <v>27</v>
      </c>
      <c r="E22" t="s">
        <v>28</v>
      </c>
      <c r="F22" t="s">
        <v>22</v>
      </c>
      <c r="G22" t="b">
        <v>0</v>
      </c>
      <c r="H22" t="s">
        <v>29</v>
      </c>
      <c r="I22" t="s">
        <v>30</v>
      </c>
      <c r="J22" t="s">
        <v>25</v>
      </c>
      <c r="L22" s="4" t="s">
        <v>647</v>
      </c>
      <c r="M22" t="str">
        <f>IFERROR(_xlfn.XLOOKUP(B22,feature_catalog!B:B,feature_catalog!B:B),"")</f>
        <v>npxg_p90</v>
      </c>
    </row>
    <row r="23" spans="1:13" x14ac:dyDescent="0.4">
      <c r="A23" t="s">
        <v>9</v>
      </c>
      <c r="B23" t="s">
        <v>10</v>
      </c>
      <c r="C23" t="s">
        <v>11</v>
      </c>
      <c r="D23" t="s">
        <v>12</v>
      </c>
      <c r="E23" t="s">
        <v>13</v>
      </c>
      <c r="F23" t="s">
        <v>14</v>
      </c>
      <c r="G23" t="b">
        <v>0</v>
      </c>
      <c r="H23" t="s">
        <v>16</v>
      </c>
      <c r="I23" t="s">
        <v>17</v>
      </c>
      <c r="J23" t="s">
        <v>9</v>
      </c>
      <c r="L23" s="4" t="s">
        <v>647</v>
      </c>
      <c r="M23" t="str">
        <f>IFERROR(_xlfn.XLOOKUP(B23,feature_catalog!B:B,feature_catalog!B:B),"")</f>
        <v>goals_p90</v>
      </c>
    </row>
    <row r="24" spans="1:13" x14ac:dyDescent="0.4">
      <c r="A24" t="s">
        <v>364</v>
      </c>
      <c r="B24" t="s">
        <v>365</v>
      </c>
      <c r="C24" t="s">
        <v>11</v>
      </c>
      <c r="D24" t="s">
        <v>366</v>
      </c>
      <c r="E24" t="s">
        <v>367</v>
      </c>
      <c r="F24" t="s">
        <v>349</v>
      </c>
      <c r="G24" t="b">
        <v>0</v>
      </c>
      <c r="H24" t="s">
        <v>368</v>
      </c>
      <c r="I24" t="s">
        <v>369</v>
      </c>
      <c r="J24" t="s">
        <v>364</v>
      </c>
      <c r="L24" s="4" t="s">
        <v>647</v>
      </c>
      <c r="M24" t="str">
        <f>IFERROR(_xlfn.XLOOKUP(B24,feature_catalog!B:B,feature_catalog!B:B),"")</f>
        <v>interceptions_p90</v>
      </c>
    </row>
    <row r="25" spans="1:13" x14ac:dyDescent="0.4">
      <c r="A25" t="s">
        <v>258</v>
      </c>
      <c r="B25" t="s">
        <v>259</v>
      </c>
      <c r="C25" t="s">
        <v>11</v>
      </c>
      <c r="D25" t="s">
        <v>260</v>
      </c>
      <c r="E25" t="s">
        <v>261</v>
      </c>
      <c r="F25" t="s">
        <v>262</v>
      </c>
      <c r="G25" t="b">
        <v>0</v>
      </c>
      <c r="H25" t="s">
        <v>263</v>
      </c>
      <c r="I25" t="s">
        <v>264</v>
      </c>
      <c r="J25" t="s">
        <v>258</v>
      </c>
      <c r="L25" s="4" t="s">
        <v>647</v>
      </c>
      <c r="M25" t="str">
        <f>IFERROR(_xlfn.XLOOKUP(B25,feature_catalog!B:B,feature_catalog!B:B),"")</f>
        <v>ball_recovery_p90</v>
      </c>
    </row>
    <row r="26" spans="1:13" x14ac:dyDescent="0.4">
      <c r="A26" t="s">
        <v>345</v>
      </c>
      <c r="B26" t="s">
        <v>346</v>
      </c>
      <c r="C26" t="s">
        <v>11</v>
      </c>
      <c r="D26" t="s">
        <v>347</v>
      </c>
      <c r="E26" t="s">
        <v>348</v>
      </c>
      <c r="F26" t="s">
        <v>349</v>
      </c>
      <c r="G26" t="b">
        <v>0</v>
      </c>
      <c r="H26" t="s">
        <v>350</v>
      </c>
      <c r="I26" t="s">
        <v>351</v>
      </c>
      <c r="J26" t="s">
        <v>345</v>
      </c>
      <c r="L26" s="4" t="s">
        <v>647</v>
      </c>
      <c r="M26" t="str">
        <f>IFERROR(_xlfn.XLOOKUP(B26,feature_catalog!B:B,feature_catalog!B:B),"")</f>
        <v>tackles_p90</v>
      </c>
    </row>
    <row r="27" spans="1:13" x14ac:dyDescent="0.4">
      <c r="A27" t="s">
        <v>329</v>
      </c>
      <c r="B27" t="s">
        <v>330</v>
      </c>
      <c r="C27" t="s">
        <v>11</v>
      </c>
      <c r="D27" t="s">
        <v>331</v>
      </c>
      <c r="E27" t="s">
        <v>332</v>
      </c>
      <c r="F27" t="s">
        <v>333</v>
      </c>
      <c r="G27" t="b">
        <v>1</v>
      </c>
      <c r="H27" t="s">
        <v>334</v>
      </c>
      <c r="I27" t="s">
        <v>335</v>
      </c>
      <c r="J27" t="s">
        <v>329</v>
      </c>
      <c r="L27" s="3" t="s">
        <v>646</v>
      </c>
      <c r="M27" t="str">
        <f>IFERROR(_xlfn.XLOOKUP(B27,feature_catalog!B:B,feature_catalog!B:B),"")</f>
        <v>errors_goal_p90</v>
      </c>
    </row>
    <row r="28" spans="1:13" x14ac:dyDescent="0.4">
      <c r="A28" t="s">
        <v>245</v>
      </c>
      <c r="B28" t="s">
        <v>246</v>
      </c>
      <c r="C28" t="s">
        <v>11</v>
      </c>
      <c r="D28" t="s">
        <v>247</v>
      </c>
      <c r="E28" t="s">
        <v>248</v>
      </c>
      <c r="F28" t="s">
        <v>249</v>
      </c>
      <c r="G28" t="b">
        <v>0</v>
      </c>
      <c r="H28" t="s">
        <v>250</v>
      </c>
      <c r="I28" t="s">
        <v>251</v>
      </c>
      <c r="J28" t="s">
        <v>245</v>
      </c>
      <c r="L28" s="4" t="s">
        <v>647</v>
      </c>
      <c r="M28" t="str">
        <f>IFERROR(_xlfn.XLOOKUP(B28,feature_catalog!B:B,feature_catalog!B:B),"")</f>
        <v>poss_won_att3_p90</v>
      </c>
    </row>
    <row r="29" spans="1:13" x14ac:dyDescent="0.4">
      <c r="A29" t="s">
        <v>572</v>
      </c>
      <c r="B29" t="s">
        <v>573</v>
      </c>
      <c r="C29" t="s">
        <v>486</v>
      </c>
      <c r="D29" t="s">
        <v>574</v>
      </c>
      <c r="E29" t="s">
        <v>575</v>
      </c>
      <c r="F29" t="s">
        <v>489</v>
      </c>
      <c r="G29" t="b">
        <v>0</v>
      </c>
      <c r="H29" t="s">
        <v>576</v>
      </c>
      <c r="I29" t="s">
        <v>577</v>
      </c>
      <c r="J29" t="s">
        <v>572</v>
      </c>
      <c r="L29" s="3" t="s">
        <v>646</v>
      </c>
      <c r="M29" t="str">
        <f>IFERROR(_xlfn.XLOOKUP(B29,feature_catalog!B:B,feature_catalog!B:B),"")</f>
        <v>avg_x</v>
      </c>
    </row>
    <row r="30" spans="1:13" x14ac:dyDescent="0.4">
      <c r="A30" t="s">
        <v>578</v>
      </c>
      <c r="B30" t="s">
        <v>579</v>
      </c>
      <c r="C30" t="s">
        <v>486</v>
      </c>
      <c r="D30" t="s">
        <v>580</v>
      </c>
      <c r="E30" t="s">
        <v>581</v>
      </c>
      <c r="F30" t="s">
        <v>489</v>
      </c>
      <c r="G30" t="b">
        <v>0</v>
      </c>
      <c r="H30" t="s">
        <v>582</v>
      </c>
      <c r="I30" t="s">
        <v>583</v>
      </c>
      <c r="J30" t="s">
        <v>578</v>
      </c>
      <c r="L30" s="4" t="s">
        <v>647</v>
      </c>
      <c r="M30" t="str">
        <f>IFERROR(_xlfn.XLOOKUP(B30,feature_catalog!B:B,feature_catalog!B:B),"")</f>
        <v>avg_y</v>
      </c>
    </row>
    <row r="31" spans="1:13" x14ac:dyDescent="0.4">
      <c r="A31" t="s">
        <v>484</v>
      </c>
      <c r="B31" t="s">
        <v>485</v>
      </c>
      <c r="C31" t="s">
        <v>486</v>
      </c>
      <c r="D31" t="s">
        <v>487</v>
      </c>
      <c r="E31" t="s">
        <v>488</v>
      </c>
      <c r="F31" t="s">
        <v>489</v>
      </c>
      <c r="G31" t="b">
        <v>0</v>
      </c>
      <c r="H31" t="s">
        <v>490</v>
      </c>
      <c r="I31" t="s">
        <v>491</v>
      </c>
      <c r="J31" t="s">
        <v>484</v>
      </c>
      <c r="L31" s="4" t="s">
        <v>647</v>
      </c>
      <c r="M31" t="str">
        <f>IFERROR(_xlfn.XLOOKUP(B31,feature_catalog!B:B,feature_catalog!B:B),"")</f>
        <v>ss_rating</v>
      </c>
    </row>
    <row r="32" spans="1:13" x14ac:dyDescent="0.4">
      <c r="A32" t="s">
        <v>71</v>
      </c>
      <c r="B32" t="s">
        <v>72</v>
      </c>
      <c r="C32" t="s">
        <v>11</v>
      </c>
      <c r="D32" t="s">
        <v>73</v>
      </c>
      <c r="E32" t="s">
        <v>74</v>
      </c>
      <c r="F32" t="s">
        <v>49</v>
      </c>
      <c r="G32" t="b">
        <v>0</v>
      </c>
      <c r="H32" t="s">
        <v>75</v>
      </c>
      <c r="I32" t="s">
        <v>76</v>
      </c>
      <c r="J32" t="s">
        <v>71</v>
      </c>
      <c r="K32">
        <v>1.5</v>
      </c>
      <c r="L32" s="3" t="s">
        <v>646</v>
      </c>
      <c r="M32" t="str">
        <f>IFERROR(_xlfn.XLOOKUP(B32,feature_catalog!B:B,feature_catalog!B:B),"")</f>
        <v>shots_ot_p90</v>
      </c>
    </row>
    <row r="33" spans="1:13" x14ac:dyDescent="0.4">
      <c r="A33" t="s">
        <v>77</v>
      </c>
      <c r="B33" t="s">
        <v>78</v>
      </c>
      <c r="C33" t="s">
        <v>79</v>
      </c>
      <c r="D33" t="s">
        <v>80</v>
      </c>
      <c r="E33" t="s">
        <v>81</v>
      </c>
      <c r="F33" t="s">
        <v>49</v>
      </c>
      <c r="G33" t="b">
        <v>0</v>
      </c>
      <c r="H33" t="s">
        <v>82</v>
      </c>
      <c r="I33" t="s">
        <v>83</v>
      </c>
      <c r="J33" t="s">
        <v>77</v>
      </c>
      <c r="L33" s="4" t="s">
        <v>647</v>
      </c>
      <c r="M33" t="str">
        <f>IFERROR(_xlfn.XLOOKUP(B33,feature_catalog!B:B,feature_catalog!B:B),"")</f>
        <v>goal_conv_pct</v>
      </c>
    </row>
    <row r="34" spans="1:13" x14ac:dyDescent="0.4">
      <c r="A34" t="s">
        <v>65</v>
      </c>
      <c r="B34" t="s">
        <v>66</v>
      </c>
      <c r="C34" t="s">
        <v>11</v>
      </c>
      <c r="D34" t="s">
        <v>67</v>
      </c>
      <c r="E34" t="s">
        <v>68</v>
      </c>
      <c r="F34" t="s">
        <v>22</v>
      </c>
      <c r="G34" t="b">
        <v>0</v>
      </c>
      <c r="H34" t="s">
        <v>69</v>
      </c>
      <c r="I34" t="s">
        <v>70</v>
      </c>
      <c r="J34" t="s">
        <v>65</v>
      </c>
      <c r="L34" s="4" t="s">
        <v>647</v>
      </c>
      <c r="M34" t="str">
        <f>IFERROR(_xlfn.XLOOKUP(B34,feature_catalog!B:B,feature_catalog!B:B),"")</f>
        <v>npxg_proxy_p90</v>
      </c>
    </row>
    <row r="35" spans="1:13" x14ac:dyDescent="0.4">
      <c r="M35">
        <f>IFERROR(_xlfn.XLOOKUP(B35,feature_catalog!B:B,feature_catalog!B:B),"")</f>
        <v>0</v>
      </c>
    </row>
    <row r="36" spans="1:13" x14ac:dyDescent="0.4">
      <c r="M36">
        <f>IFERROR(_xlfn.XLOOKUP(B36,feature_catalog!B:B,feature_catalog!B:B),"")</f>
        <v>0</v>
      </c>
    </row>
    <row r="37" spans="1:13" x14ac:dyDescent="0.4">
      <c r="M37">
        <f>IFERROR(_xlfn.XLOOKUP(B37,feature_catalog!B:B,feature_catalog!B:B),"")</f>
        <v>0</v>
      </c>
    </row>
    <row r="38" spans="1:13" x14ac:dyDescent="0.4">
      <c r="M38">
        <f>IFERROR(_xlfn.XLOOKUP(B38,feature_catalog!B:B,feature_catalog!B:B),"")</f>
        <v>0</v>
      </c>
    </row>
    <row r="39" spans="1:13" x14ac:dyDescent="0.4">
      <c r="M39">
        <f>IFERROR(_xlfn.XLOOKUP(B39,feature_catalog!B:B,feature_catalog!B:B),"")</f>
        <v>0</v>
      </c>
    </row>
    <row r="40" spans="1:13" x14ac:dyDescent="0.4">
      <c r="M40">
        <f>IFERROR(_xlfn.XLOOKUP(B40,feature_catalog!B:B,feature_catalog!B:B),"")</f>
        <v>0</v>
      </c>
    </row>
    <row r="41" spans="1:13" x14ac:dyDescent="0.4">
      <c r="M41">
        <f>IFERROR(_xlfn.XLOOKUP(B41,feature_catalog!B:B,feature_catalog!B:B),"")</f>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6C770-E5DB-466F-A8EE-EDE17B920298}">
  <dimension ref="A1:M40"/>
  <sheetViews>
    <sheetView topLeftCell="F1" workbookViewId="0">
      <pane ySplit="1" topLeftCell="A2" activePane="bottomLeft" state="frozen"/>
      <selection pane="bottomLeft" activeCell="M1" sqref="M1:M1048576"/>
    </sheetView>
  </sheetViews>
  <sheetFormatPr baseColWidth="10" defaultRowHeight="14.6" x14ac:dyDescent="0.4"/>
  <cols>
    <col min="1" max="1" width="25.4609375" bestFit="1" customWidth="1"/>
    <col min="2" max="2" width="16.84375" bestFit="1" customWidth="1"/>
    <col min="3" max="3" width="4.4609375" bestFit="1" customWidth="1"/>
    <col min="4" max="4" width="234.3046875" bestFit="1" customWidth="1"/>
    <col min="5" max="5" width="137.61328125" bestFit="1" customWidth="1"/>
    <col min="6" max="6" width="20.15234375" bestFit="1" customWidth="1"/>
    <col min="7" max="7" width="7.765625" bestFit="1" customWidth="1"/>
    <col min="8" max="8" width="20.84375" bestFit="1" customWidth="1"/>
    <col min="9" max="9" width="18.4609375" bestFit="1" customWidth="1"/>
    <col min="10" max="10" width="25.4609375" bestFit="1" customWidth="1"/>
    <col min="11" max="11" width="11" bestFit="1" customWidth="1"/>
    <col min="12" max="12" width="8.69140625" bestFit="1" customWidth="1"/>
  </cols>
  <sheetData>
    <row r="1" spans="1:13" x14ac:dyDescent="0.4">
      <c r="A1" s="9" t="s">
        <v>0</v>
      </c>
      <c r="B1" s="9" t="s">
        <v>1</v>
      </c>
      <c r="C1" s="9" t="s">
        <v>2</v>
      </c>
      <c r="D1" s="9" t="s">
        <v>3</v>
      </c>
      <c r="E1" s="9" t="s">
        <v>4</v>
      </c>
      <c r="F1" s="9" t="s">
        <v>5</v>
      </c>
      <c r="G1" s="9" t="s">
        <v>6</v>
      </c>
      <c r="H1" s="9" t="s">
        <v>7</v>
      </c>
      <c r="I1" s="9" t="s">
        <v>8</v>
      </c>
      <c r="J1" s="9" t="s">
        <v>0</v>
      </c>
      <c r="K1" s="9" t="s">
        <v>645</v>
      </c>
      <c r="L1" s="9" t="s">
        <v>651</v>
      </c>
    </row>
    <row r="2" spans="1:13" x14ac:dyDescent="0.4">
      <c r="A2" t="s">
        <v>159</v>
      </c>
      <c r="B2" t="s">
        <v>160</v>
      </c>
      <c r="C2" t="s">
        <v>79</v>
      </c>
      <c r="D2" t="s">
        <v>161</v>
      </c>
      <c r="E2" t="s">
        <v>162</v>
      </c>
      <c r="F2" t="s">
        <v>163</v>
      </c>
      <c r="G2" t="b">
        <v>0</v>
      </c>
      <c r="H2" t="s">
        <v>164</v>
      </c>
      <c r="I2" t="s">
        <v>165</v>
      </c>
      <c r="J2" t="s">
        <v>159</v>
      </c>
      <c r="K2">
        <f>IFERROR(VLOOKUP(J2,meneur_jeu_recule_DM!$J:$K,2,0),"")</f>
        <v>2</v>
      </c>
      <c r="L2" s="5" t="s">
        <v>648</v>
      </c>
      <c r="M2" t="str">
        <f>IFERROR(_xlfn.XLOOKUP(B2,feature_catalog!B:B,feature_catalog!B:B),"")</f>
        <v>pass_acc_pct</v>
      </c>
    </row>
    <row r="3" spans="1:13" x14ac:dyDescent="0.4">
      <c r="A3" t="s">
        <v>153</v>
      </c>
      <c r="B3" t="s">
        <v>154</v>
      </c>
      <c r="C3" t="s">
        <v>11</v>
      </c>
      <c r="D3" t="s">
        <v>155</v>
      </c>
      <c r="E3" t="s">
        <v>156</v>
      </c>
      <c r="F3" t="s">
        <v>110</v>
      </c>
      <c r="G3" t="b">
        <v>0</v>
      </c>
      <c r="H3" t="s">
        <v>157</v>
      </c>
      <c r="I3" t="s">
        <v>158</v>
      </c>
      <c r="J3" t="s">
        <v>153</v>
      </c>
      <c r="K3">
        <f>IFERROR(VLOOKUP(J3,meneur_jeu_recule_DM!$J:$K,2,0),"")</f>
        <v>1</v>
      </c>
      <c r="L3" s="5" t="s">
        <v>648</v>
      </c>
      <c r="M3" t="str">
        <f>IFERROR(_xlfn.XLOOKUP(B3,feature_catalog!B:B,feature_catalog!B:B),"")</f>
        <v>acc_passes_p90</v>
      </c>
    </row>
    <row r="4" spans="1:13" x14ac:dyDescent="0.4">
      <c r="A4" t="s">
        <v>173</v>
      </c>
      <c r="B4" t="s">
        <v>174</v>
      </c>
      <c r="C4" t="s">
        <v>79</v>
      </c>
      <c r="D4" t="s">
        <v>175</v>
      </c>
      <c r="E4" t="s">
        <v>176</v>
      </c>
      <c r="F4" t="s">
        <v>170</v>
      </c>
      <c r="G4" t="b">
        <v>0</v>
      </c>
      <c r="H4" t="s">
        <v>177</v>
      </c>
      <c r="I4" t="s">
        <v>178</v>
      </c>
      <c r="J4" t="s">
        <v>173</v>
      </c>
      <c r="K4">
        <f>IFERROR(VLOOKUP(J4,meneur_jeu_recule_DM!$J:$K,2,0),"")</f>
        <v>2</v>
      </c>
      <c r="L4" s="5" t="s">
        <v>648</v>
      </c>
      <c r="M4" t="str">
        <f>IFERROR(_xlfn.XLOOKUP(B4,feature_catalog!B:B,feature_catalog!B:B),"")</f>
        <v>long_balls_pct</v>
      </c>
    </row>
    <row r="5" spans="1:13" x14ac:dyDescent="0.4">
      <c r="A5" t="s">
        <v>166</v>
      </c>
      <c r="B5" t="s">
        <v>167</v>
      </c>
      <c r="C5" t="s">
        <v>11</v>
      </c>
      <c r="D5" t="s">
        <v>168</v>
      </c>
      <c r="E5" t="s">
        <v>169</v>
      </c>
      <c r="F5" t="s">
        <v>170</v>
      </c>
      <c r="G5" t="b">
        <v>0</v>
      </c>
      <c r="H5" t="s">
        <v>171</v>
      </c>
      <c r="I5" t="s">
        <v>172</v>
      </c>
      <c r="J5" t="s">
        <v>166</v>
      </c>
      <c r="L5" s="3" t="s">
        <v>646</v>
      </c>
      <c r="M5" t="str">
        <f>IFERROR(_xlfn.XLOOKUP(B5,feature_catalog!B:B,feature_catalog!B:B),"")</f>
        <v>long_balls_p90</v>
      </c>
    </row>
    <row r="6" spans="1:13" x14ac:dyDescent="0.4">
      <c r="A6" t="s">
        <v>106</v>
      </c>
      <c r="B6" t="s">
        <v>107</v>
      </c>
      <c r="C6" t="s">
        <v>11</v>
      </c>
      <c r="D6" t="s">
        <v>108</v>
      </c>
      <c r="E6" t="s">
        <v>109</v>
      </c>
      <c r="F6" t="s">
        <v>110</v>
      </c>
      <c r="G6" t="b">
        <v>0</v>
      </c>
      <c r="H6" t="s">
        <v>111</v>
      </c>
      <c r="I6" t="s">
        <v>112</v>
      </c>
      <c r="J6" t="s">
        <v>106</v>
      </c>
      <c r="L6" s="5" t="s">
        <v>648</v>
      </c>
      <c r="M6" t="str">
        <f>IFERROR(_xlfn.XLOOKUP(B6,feature_catalog!B:B,feature_catalog!B:B),"")</f>
        <v>passes_f3_p90</v>
      </c>
    </row>
    <row r="7" spans="1:13" x14ac:dyDescent="0.4">
      <c r="A7" t="s">
        <v>139</v>
      </c>
      <c r="B7" t="s">
        <v>140</v>
      </c>
      <c r="C7" t="s">
        <v>11</v>
      </c>
      <c r="D7" t="s">
        <v>141</v>
      </c>
      <c r="E7" t="s">
        <v>142</v>
      </c>
      <c r="F7" t="s">
        <v>143</v>
      </c>
      <c r="G7" t="b">
        <v>0</v>
      </c>
      <c r="H7" t="s">
        <v>144</v>
      </c>
      <c r="I7" t="s">
        <v>145</v>
      </c>
      <c r="J7" t="s">
        <v>139</v>
      </c>
      <c r="L7" s="5" t="s">
        <v>648</v>
      </c>
      <c r="M7" t="str">
        <f>IFERROR(_xlfn.XLOOKUP(B7,feature_catalog!B:B,feature_catalog!B:B),"")</f>
        <v/>
      </c>
    </row>
    <row r="8" spans="1:13" x14ac:dyDescent="0.4">
      <c r="A8" t="s">
        <v>125</v>
      </c>
      <c r="B8" t="s">
        <v>126</v>
      </c>
      <c r="C8" t="s">
        <v>11</v>
      </c>
      <c r="D8" t="s">
        <v>127</v>
      </c>
      <c r="E8" t="s">
        <v>128</v>
      </c>
      <c r="F8" t="s">
        <v>129</v>
      </c>
      <c r="G8" t="b">
        <v>0</v>
      </c>
      <c r="H8" t="s">
        <v>130</v>
      </c>
      <c r="I8" t="s">
        <v>131</v>
      </c>
      <c r="J8" t="s">
        <v>125</v>
      </c>
      <c r="L8" s="5" t="s">
        <v>648</v>
      </c>
      <c r="M8" t="str">
        <f>IFERROR(_xlfn.XLOOKUP(B8,feature_catalog!B:B,feature_catalog!B:B),"")</f>
        <v>key_passes_p90</v>
      </c>
    </row>
    <row r="9" spans="1:13" x14ac:dyDescent="0.4">
      <c r="A9" t="s">
        <v>113</v>
      </c>
      <c r="B9" t="s">
        <v>114</v>
      </c>
      <c r="C9" t="s">
        <v>11</v>
      </c>
      <c r="D9" t="s">
        <v>115</v>
      </c>
      <c r="E9" t="s">
        <v>116</v>
      </c>
      <c r="F9" t="s">
        <v>96</v>
      </c>
      <c r="G9" t="b">
        <v>0</v>
      </c>
      <c r="H9" t="s">
        <v>117</v>
      </c>
      <c r="I9" t="s">
        <v>118</v>
      </c>
      <c r="J9" t="s">
        <v>113</v>
      </c>
      <c r="L9" s="5" t="s">
        <v>648</v>
      </c>
      <c r="M9" t="str">
        <f>IFERROR(_xlfn.XLOOKUP(B9,feature_catalog!B:B,feature_catalog!B:B),"")</f>
        <v>xa_p90</v>
      </c>
    </row>
    <row r="10" spans="1:13" x14ac:dyDescent="0.4">
      <c r="A10" t="s">
        <v>38</v>
      </c>
      <c r="B10" t="s">
        <v>39</v>
      </c>
      <c r="C10" t="s">
        <v>11</v>
      </c>
      <c r="D10" t="s">
        <v>40</v>
      </c>
      <c r="E10" t="s">
        <v>41</v>
      </c>
      <c r="F10" t="s">
        <v>42</v>
      </c>
      <c r="G10" t="b">
        <v>0</v>
      </c>
      <c r="H10" t="s">
        <v>43</v>
      </c>
      <c r="I10" t="s">
        <v>44</v>
      </c>
      <c r="J10" t="s">
        <v>38</v>
      </c>
      <c r="K10">
        <v>2</v>
      </c>
      <c r="L10" s="5" t="s">
        <v>648</v>
      </c>
      <c r="M10" t="str">
        <f>IFERROR(_xlfn.XLOOKUP(B10,feature_catalog!B:B,feature_catalog!B:B),"")</f>
        <v>xgbuildup_p90</v>
      </c>
    </row>
    <row r="11" spans="1:13" x14ac:dyDescent="0.4">
      <c r="A11" t="s">
        <v>31</v>
      </c>
      <c r="B11" t="s">
        <v>32</v>
      </c>
      <c r="C11" t="s">
        <v>11</v>
      </c>
      <c r="D11" t="s">
        <v>33</v>
      </c>
      <c r="E11" t="s">
        <v>34</v>
      </c>
      <c r="F11" t="s">
        <v>35</v>
      </c>
      <c r="G11" t="b">
        <v>0</v>
      </c>
      <c r="H11" t="s">
        <v>36</v>
      </c>
      <c r="I11" t="s">
        <v>37</v>
      </c>
      <c r="J11" t="s">
        <v>31</v>
      </c>
      <c r="K11">
        <v>1</v>
      </c>
      <c r="L11" s="3" t="s">
        <v>646</v>
      </c>
      <c r="M11" t="str">
        <f>IFERROR(_xlfn.XLOOKUP(B11,feature_catalog!B:B,feature_catalog!B:B),"")</f>
        <v>xgchain_p90</v>
      </c>
    </row>
    <row r="12" spans="1:13" x14ac:dyDescent="0.4">
      <c r="A12" t="s">
        <v>132</v>
      </c>
      <c r="B12" t="s">
        <v>133</v>
      </c>
      <c r="C12" t="s">
        <v>11</v>
      </c>
      <c r="D12" t="s">
        <v>134</v>
      </c>
      <c r="E12" t="s">
        <v>135</v>
      </c>
      <c r="F12" t="s">
        <v>136</v>
      </c>
      <c r="G12" t="b">
        <v>0</v>
      </c>
      <c r="H12" t="s">
        <v>137</v>
      </c>
      <c r="I12" t="s">
        <v>138</v>
      </c>
      <c r="J12" t="s">
        <v>132</v>
      </c>
      <c r="L12" s="3" t="s">
        <v>646</v>
      </c>
      <c r="M12" t="str">
        <f>IFERROR(_xlfn.XLOOKUP(B12,feature_catalog!B:B,feature_catalog!B:B),"")</f>
        <v>big_chances_p90</v>
      </c>
    </row>
    <row r="13" spans="1:13" x14ac:dyDescent="0.4">
      <c r="A13" t="s">
        <v>92</v>
      </c>
      <c r="B13" t="s">
        <v>93</v>
      </c>
      <c r="C13" t="s">
        <v>11</v>
      </c>
      <c r="D13" t="s">
        <v>94</v>
      </c>
      <c r="E13" t="s">
        <v>95</v>
      </c>
      <c r="F13" t="s">
        <v>96</v>
      </c>
      <c r="G13" t="b">
        <v>0</v>
      </c>
      <c r="H13" t="s">
        <v>97</v>
      </c>
      <c r="I13" t="s">
        <v>98</v>
      </c>
      <c r="J13" t="s">
        <v>92</v>
      </c>
      <c r="L13" s="3" t="s">
        <v>646</v>
      </c>
      <c r="M13" t="str">
        <f>IFERROR(_xlfn.XLOOKUP(B13,feature_catalog!B:B,feature_catalog!B:B),"")</f>
        <v>ast_p90</v>
      </c>
    </row>
    <row r="14" spans="1:13" x14ac:dyDescent="0.4">
      <c r="A14" t="s">
        <v>238</v>
      </c>
      <c r="B14" t="s">
        <v>239</v>
      </c>
      <c r="C14" t="s">
        <v>11</v>
      </c>
      <c r="D14" t="s">
        <v>240</v>
      </c>
      <c r="E14" t="s">
        <v>241</v>
      </c>
      <c r="F14" t="s">
        <v>242</v>
      </c>
      <c r="G14" t="b">
        <v>1</v>
      </c>
      <c r="H14" t="s">
        <v>243</v>
      </c>
      <c r="I14" t="s">
        <v>244</v>
      </c>
      <c r="J14" t="s">
        <v>238</v>
      </c>
      <c r="K14">
        <f>IFERROR(VLOOKUP(J14,meneur_jeu_recule_DM!$J:$K,2,0),"")</f>
        <v>2</v>
      </c>
      <c r="L14" s="5" t="s">
        <v>648</v>
      </c>
      <c r="M14" t="str">
        <f>IFERROR(_xlfn.XLOOKUP(B14,feature_catalog!B:B,feature_catalog!B:B),"")</f>
        <v>poss_lost_p90</v>
      </c>
    </row>
    <row r="15" spans="1:13" x14ac:dyDescent="0.4">
      <c r="A15" t="s">
        <v>232</v>
      </c>
      <c r="B15" t="s">
        <v>233</v>
      </c>
      <c r="C15" t="s">
        <v>11</v>
      </c>
      <c r="D15" t="s">
        <v>234</v>
      </c>
      <c r="E15" t="s">
        <v>235</v>
      </c>
      <c r="F15" t="s">
        <v>216</v>
      </c>
      <c r="G15" t="b">
        <v>1</v>
      </c>
      <c r="H15" t="s">
        <v>236</v>
      </c>
      <c r="I15" t="s">
        <v>237</v>
      </c>
      <c r="J15" t="s">
        <v>232</v>
      </c>
      <c r="L15" s="3" t="s">
        <v>646</v>
      </c>
      <c r="M15" t="str">
        <f>IFERROR(_xlfn.XLOOKUP(B15,feature_catalog!B:B,feature_catalog!B:B),"")</f>
        <v>dispossessed_p90</v>
      </c>
    </row>
    <row r="16" spans="1:13" x14ac:dyDescent="0.4">
      <c r="A16" t="s">
        <v>199</v>
      </c>
      <c r="B16" t="s">
        <v>200</v>
      </c>
      <c r="C16" t="s">
        <v>11</v>
      </c>
      <c r="D16" t="s">
        <v>201</v>
      </c>
      <c r="E16" t="s">
        <v>202</v>
      </c>
      <c r="F16" t="s">
        <v>203</v>
      </c>
      <c r="G16" t="b">
        <v>0</v>
      </c>
      <c r="H16" t="s">
        <v>204</v>
      </c>
      <c r="I16" t="s">
        <v>205</v>
      </c>
      <c r="J16" t="s">
        <v>199</v>
      </c>
      <c r="K16">
        <v>1</v>
      </c>
      <c r="L16" s="3" t="s">
        <v>646</v>
      </c>
      <c r="M16" t="str">
        <f>IFERROR(_xlfn.XLOOKUP(B16,feature_catalog!B:B,feature_catalog!B:B),"")</f>
        <v>touches_p90</v>
      </c>
    </row>
    <row r="17" spans="1:13" x14ac:dyDescent="0.4">
      <c r="A17" t="s">
        <v>364</v>
      </c>
      <c r="B17" t="s">
        <v>365</v>
      </c>
      <c r="C17" t="s">
        <v>11</v>
      </c>
      <c r="D17" t="s">
        <v>366</v>
      </c>
      <c r="E17" t="s">
        <v>367</v>
      </c>
      <c r="F17" t="s">
        <v>349</v>
      </c>
      <c r="G17" t="b">
        <v>0</v>
      </c>
      <c r="H17" t="s">
        <v>368</v>
      </c>
      <c r="I17" t="s">
        <v>369</v>
      </c>
      <c r="J17" t="s">
        <v>364</v>
      </c>
      <c r="K17">
        <v>1</v>
      </c>
      <c r="L17" s="3" t="s">
        <v>646</v>
      </c>
      <c r="M17" t="str">
        <f>IFERROR(_xlfn.XLOOKUP(B17,feature_catalog!B:B,feature_catalog!B:B),"")</f>
        <v>interceptions_p90</v>
      </c>
    </row>
    <row r="18" spans="1:13" x14ac:dyDescent="0.4">
      <c r="A18" t="s">
        <v>258</v>
      </c>
      <c r="B18" t="s">
        <v>259</v>
      </c>
      <c r="C18" t="s">
        <v>11</v>
      </c>
      <c r="D18" t="s">
        <v>260</v>
      </c>
      <c r="E18" t="s">
        <v>261</v>
      </c>
      <c r="F18" t="s">
        <v>262</v>
      </c>
      <c r="G18" t="b">
        <v>0</v>
      </c>
      <c r="H18" t="s">
        <v>263</v>
      </c>
      <c r="I18" t="s">
        <v>264</v>
      </c>
      <c r="J18" t="s">
        <v>258</v>
      </c>
      <c r="K18">
        <f>IFERROR(VLOOKUP(J18,meneur_jeu_recule_DM!$J:$K,2,0),"")</f>
        <v>1</v>
      </c>
      <c r="L18" s="3" t="s">
        <v>646</v>
      </c>
      <c r="M18" t="str">
        <f>IFERROR(_xlfn.XLOOKUP(B18,feature_catalog!B:B,feature_catalog!B:B),"")</f>
        <v>ball_recovery_p90</v>
      </c>
    </row>
    <row r="19" spans="1:13" x14ac:dyDescent="0.4">
      <c r="A19" t="s">
        <v>345</v>
      </c>
      <c r="B19" t="s">
        <v>346</v>
      </c>
      <c r="C19" t="s">
        <v>11</v>
      </c>
      <c r="D19" t="s">
        <v>347</v>
      </c>
      <c r="E19" t="s">
        <v>348</v>
      </c>
      <c r="F19" t="s">
        <v>349</v>
      </c>
      <c r="G19" t="b">
        <v>0</v>
      </c>
      <c r="H19" t="s">
        <v>350</v>
      </c>
      <c r="I19" t="s">
        <v>351</v>
      </c>
      <c r="J19" t="s">
        <v>345</v>
      </c>
      <c r="L19" s="4" t="s">
        <v>647</v>
      </c>
      <c r="M19" t="str">
        <f>IFERROR(_xlfn.XLOOKUP(B19,feature_catalog!B:B,feature_catalog!B:B),"")</f>
        <v>tackles_p90</v>
      </c>
    </row>
    <row r="20" spans="1:13" x14ac:dyDescent="0.4">
      <c r="A20" t="s">
        <v>358</v>
      </c>
      <c r="B20" t="s">
        <v>359</v>
      </c>
      <c r="C20" t="s">
        <v>79</v>
      </c>
      <c r="D20" t="s">
        <v>360</v>
      </c>
      <c r="E20" t="s">
        <v>361</v>
      </c>
      <c r="F20" t="s">
        <v>349</v>
      </c>
      <c r="G20" t="b">
        <v>0</v>
      </c>
      <c r="H20" t="s">
        <v>362</v>
      </c>
      <c r="I20" t="s">
        <v>363</v>
      </c>
      <c r="J20" t="s">
        <v>358</v>
      </c>
      <c r="L20" s="4" t="s">
        <v>647</v>
      </c>
      <c r="M20" t="str">
        <f>IFERROR(_xlfn.XLOOKUP(B20,feature_catalog!B:B,feature_catalog!B:B),"")</f>
        <v>tackle_success_pct</v>
      </c>
    </row>
    <row r="21" spans="1:13" x14ac:dyDescent="0.4">
      <c r="A21" t="s">
        <v>418</v>
      </c>
      <c r="B21" t="s">
        <v>419</v>
      </c>
      <c r="C21" t="s">
        <v>79</v>
      </c>
      <c r="D21" t="s">
        <v>420</v>
      </c>
      <c r="E21" t="s">
        <v>421</v>
      </c>
      <c r="F21" t="s">
        <v>415</v>
      </c>
      <c r="G21" t="b">
        <v>0</v>
      </c>
      <c r="H21" t="s">
        <v>422</v>
      </c>
      <c r="I21" t="s">
        <v>423</v>
      </c>
      <c r="J21" t="s">
        <v>418</v>
      </c>
      <c r="K21">
        <v>1</v>
      </c>
      <c r="L21" s="3" t="s">
        <v>646</v>
      </c>
      <c r="M21" t="str">
        <f>IFERROR(_xlfn.XLOOKUP(B21,feature_catalog!B:B,feature_catalog!B:B),"")</f>
        <v>ground_duels_pct</v>
      </c>
    </row>
    <row r="22" spans="1:13" x14ac:dyDescent="0.4">
      <c r="A22" t="s">
        <v>268</v>
      </c>
      <c r="B22" t="s">
        <v>269</v>
      </c>
      <c r="C22" t="s">
        <v>11</v>
      </c>
      <c r="D22" t="s">
        <v>270</v>
      </c>
      <c r="E22" t="s">
        <v>271</v>
      </c>
      <c r="F22" t="s">
        <v>272</v>
      </c>
      <c r="G22" t="b">
        <v>1</v>
      </c>
      <c r="H22" t="s">
        <v>273</v>
      </c>
      <c r="I22" t="s">
        <v>274</v>
      </c>
      <c r="J22" t="s">
        <v>268</v>
      </c>
      <c r="L22" s="3" t="s">
        <v>646</v>
      </c>
      <c r="M22" t="str">
        <f>IFERROR(_xlfn.XLOOKUP(B22,feature_catalog!B:B,feature_catalog!B:B),"")</f>
        <v>dribbled_past_p90</v>
      </c>
    </row>
    <row r="23" spans="1:13" x14ac:dyDescent="0.4">
      <c r="A23" t="s">
        <v>302</v>
      </c>
      <c r="B23" t="s">
        <v>303</v>
      </c>
      <c r="C23" t="s">
        <v>11</v>
      </c>
      <c r="D23" t="s">
        <v>304</v>
      </c>
      <c r="E23" t="s">
        <v>305</v>
      </c>
      <c r="F23" t="s">
        <v>306</v>
      </c>
      <c r="G23" t="b">
        <v>1</v>
      </c>
      <c r="H23" t="s">
        <v>307</v>
      </c>
      <c r="I23" t="s">
        <v>308</v>
      </c>
      <c r="J23" t="s">
        <v>302</v>
      </c>
      <c r="L23" s="4" t="s">
        <v>647</v>
      </c>
      <c r="M23" t="str">
        <f>IFERROR(_xlfn.XLOOKUP(B23,feature_catalog!B:B,feature_catalog!B:B),"")</f>
        <v>fouls_p90</v>
      </c>
    </row>
    <row r="24" spans="1:13" x14ac:dyDescent="0.4">
      <c r="A24" t="s">
        <v>329</v>
      </c>
      <c r="B24" t="s">
        <v>330</v>
      </c>
      <c r="C24" t="s">
        <v>11</v>
      </c>
      <c r="D24" t="s">
        <v>331</v>
      </c>
      <c r="E24" t="s">
        <v>332</v>
      </c>
      <c r="F24" t="s">
        <v>333</v>
      </c>
      <c r="G24" t="b">
        <v>1</v>
      </c>
      <c r="H24" t="s">
        <v>334</v>
      </c>
      <c r="I24" t="s">
        <v>335</v>
      </c>
      <c r="J24" t="s">
        <v>329</v>
      </c>
      <c r="L24" s="5" t="s">
        <v>648</v>
      </c>
      <c r="M24" t="str">
        <f>IFERROR(_xlfn.XLOOKUP(B24,feature_catalog!B:B,feature_catalog!B:B),"")</f>
        <v>errors_goal_p90</v>
      </c>
    </row>
    <row r="25" spans="1:13" x14ac:dyDescent="0.4">
      <c r="A25" t="s">
        <v>336</v>
      </c>
      <c r="B25" t="s">
        <v>337</v>
      </c>
      <c r="C25" t="s">
        <v>11</v>
      </c>
      <c r="D25" t="s">
        <v>338</v>
      </c>
      <c r="E25" t="s">
        <v>339</v>
      </c>
      <c r="F25" t="s">
        <v>333</v>
      </c>
      <c r="G25" t="b">
        <v>1</v>
      </c>
      <c r="H25" t="s">
        <v>340</v>
      </c>
      <c r="I25" t="s">
        <v>341</v>
      </c>
      <c r="J25" t="s">
        <v>336</v>
      </c>
      <c r="K25">
        <v>1</v>
      </c>
      <c r="L25" s="3" t="s">
        <v>646</v>
      </c>
      <c r="M25" t="str">
        <f>IFERROR(_xlfn.XLOOKUP(B25,feature_catalog!B:B,feature_catalog!B:B),"")</f>
        <v>errors_shot_p90</v>
      </c>
    </row>
    <row r="26" spans="1:13" x14ac:dyDescent="0.4">
      <c r="A26" t="s">
        <v>147</v>
      </c>
      <c r="B26" t="s">
        <v>148</v>
      </c>
      <c r="C26" t="s">
        <v>11</v>
      </c>
      <c r="D26" t="s">
        <v>149</v>
      </c>
      <c r="E26" t="s">
        <v>150</v>
      </c>
      <c r="F26" t="s">
        <v>136</v>
      </c>
      <c r="G26" t="b">
        <v>0</v>
      </c>
      <c r="H26" t="s">
        <v>151</v>
      </c>
      <c r="I26" t="s">
        <v>152</v>
      </c>
      <c r="J26" t="s">
        <v>147</v>
      </c>
      <c r="K26" t="str">
        <f>IFERROR(VLOOKUP(J26,meneur_jeu_recule_DM!$J:$K,2,0),"")</f>
        <v/>
      </c>
      <c r="L26" s="3" t="s">
        <v>646</v>
      </c>
      <c r="M26" t="str">
        <f>IFERROR(_xlfn.XLOOKUP(B26,feature_catalog!B:B,feature_catalog!B:B),"")</f>
        <v/>
      </c>
    </row>
    <row r="27" spans="1:13" x14ac:dyDescent="0.4">
      <c r="A27" t="s">
        <v>212</v>
      </c>
      <c r="B27" t="s">
        <v>213</v>
      </c>
      <c r="C27" t="s">
        <v>11</v>
      </c>
      <c r="D27" t="s">
        <v>214</v>
      </c>
      <c r="E27" t="s">
        <v>215</v>
      </c>
      <c r="F27" t="s">
        <v>216</v>
      </c>
      <c r="G27" t="b">
        <v>0</v>
      </c>
      <c r="H27" t="s">
        <v>217</v>
      </c>
      <c r="I27" t="s">
        <v>218</v>
      </c>
      <c r="J27" t="s">
        <v>212</v>
      </c>
      <c r="K27" t="str">
        <f>IFERROR(VLOOKUP(J27,meneur_jeu_recule_DM!$J:$K,2,0),"")</f>
        <v/>
      </c>
      <c r="L27" s="3" t="s">
        <v>646</v>
      </c>
      <c r="M27" t="str">
        <f>IFERROR(_xlfn.XLOOKUP(B27,feature_catalog!B:B,feature_catalog!B:B),"")</f>
        <v>dribbles_p90</v>
      </c>
    </row>
    <row r="28" spans="1:13" x14ac:dyDescent="0.4">
      <c r="A28" t="s">
        <v>219</v>
      </c>
      <c r="B28" t="s">
        <v>220</v>
      </c>
      <c r="C28" t="s">
        <v>79</v>
      </c>
      <c r="D28" t="s">
        <v>221</v>
      </c>
      <c r="E28" t="s">
        <v>222</v>
      </c>
      <c r="F28" t="s">
        <v>223</v>
      </c>
      <c r="G28" t="b">
        <v>0</v>
      </c>
      <c r="H28" t="s">
        <v>224</v>
      </c>
      <c r="I28" t="s">
        <v>225</v>
      </c>
      <c r="J28" t="s">
        <v>219</v>
      </c>
      <c r="K28">
        <v>1</v>
      </c>
      <c r="L28" s="4" t="s">
        <v>647</v>
      </c>
      <c r="M28" t="str">
        <f>IFERROR(_xlfn.XLOOKUP(B28,feature_catalog!B:B,feature_catalog!B:B),"")</f>
        <v>dribble_pct</v>
      </c>
    </row>
    <row r="29" spans="1:13" x14ac:dyDescent="0.4">
      <c r="A29" t="s">
        <v>45</v>
      </c>
      <c r="B29" t="s">
        <v>46</v>
      </c>
      <c r="C29" t="s">
        <v>11</v>
      </c>
      <c r="D29" t="s">
        <v>47</v>
      </c>
      <c r="E29" t="s">
        <v>48</v>
      </c>
      <c r="F29" t="s">
        <v>49</v>
      </c>
      <c r="G29" t="b">
        <v>0</v>
      </c>
      <c r="H29" t="s">
        <v>50</v>
      </c>
      <c r="I29" t="s">
        <v>51</v>
      </c>
      <c r="J29" t="s">
        <v>45</v>
      </c>
      <c r="K29" t="str">
        <f>IFERROR(VLOOKUP(J29,meneur_jeu_recule_DM!$J:$K,2,0),"")</f>
        <v/>
      </c>
      <c r="L29" s="4" t="s">
        <v>647</v>
      </c>
      <c r="M29" t="str">
        <f>IFERROR(_xlfn.XLOOKUP(B29,feature_catalog!B:B,feature_catalog!B:B),"")</f>
        <v>shots_p90</v>
      </c>
    </row>
    <row r="30" spans="1:13" x14ac:dyDescent="0.4">
      <c r="A30" t="s">
        <v>18</v>
      </c>
      <c r="B30" t="s">
        <v>19</v>
      </c>
      <c r="C30" t="s">
        <v>11</v>
      </c>
      <c r="D30" t="s">
        <v>20</v>
      </c>
      <c r="E30" t="s">
        <v>21</v>
      </c>
      <c r="F30" t="s">
        <v>22</v>
      </c>
      <c r="G30" t="b">
        <v>0</v>
      </c>
      <c r="H30" t="s">
        <v>23</v>
      </c>
      <c r="I30" t="s">
        <v>24</v>
      </c>
      <c r="J30" t="s">
        <v>18</v>
      </c>
      <c r="K30" t="str">
        <f>IFERROR(VLOOKUP(J30,meneur_jeu_recule_DM!$J:$K,2,0),"")</f>
        <v/>
      </c>
      <c r="L30" s="4" t="s">
        <v>647</v>
      </c>
      <c r="M30" t="str">
        <f>IFERROR(_xlfn.XLOOKUP(B30,feature_catalog!B:B,feature_catalog!B:B),"")</f>
        <v>xg_p90</v>
      </c>
    </row>
    <row r="31" spans="1:13" x14ac:dyDescent="0.4">
      <c r="A31" t="s">
        <v>245</v>
      </c>
      <c r="B31" t="s">
        <v>246</v>
      </c>
      <c r="C31" t="s">
        <v>11</v>
      </c>
      <c r="D31" t="s">
        <v>247</v>
      </c>
      <c r="E31" t="s">
        <v>248</v>
      </c>
      <c r="F31" t="s">
        <v>249</v>
      </c>
      <c r="G31" t="b">
        <v>0</v>
      </c>
      <c r="H31" t="s">
        <v>250</v>
      </c>
      <c r="I31" t="s">
        <v>251</v>
      </c>
      <c r="J31" t="s">
        <v>245</v>
      </c>
      <c r="K31" t="str">
        <f>IFERROR(VLOOKUP(J31,meneur_jeu_recule_DM!$J:$K,2,0),"")</f>
        <v/>
      </c>
      <c r="L31" s="4" t="s">
        <v>647</v>
      </c>
      <c r="M31" t="str">
        <f>IFERROR(_xlfn.XLOOKUP(B31,feature_catalog!B:B,feature_catalog!B:B),"")</f>
        <v>poss_won_att3_p90</v>
      </c>
    </row>
    <row r="32" spans="1:13" x14ac:dyDescent="0.4">
      <c r="A32" t="s">
        <v>572</v>
      </c>
      <c r="B32" t="s">
        <v>573</v>
      </c>
      <c r="C32" t="s">
        <v>486</v>
      </c>
      <c r="D32" t="s">
        <v>574</v>
      </c>
      <c r="E32" t="s">
        <v>575</v>
      </c>
      <c r="F32" t="s">
        <v>489</v>
      </c>
      <c r="G32" t="b">
        <v>0</v>
      </c>
      <c r="H32" t="s">
        <v>576</v>
      </c>
      <c r="I32" t="s">
        <v>577</v>
      </c>
      <c r="J32" t="s">
        <v>572</v>
      </c>
      <c r="L32" s="3" t="s">
        <v>646</v>
      </c>
      <c r="M32" t="str">
        <f>IFERROR(_xlfn.XLOOKUP(B32,feature_catalog!B:B,feature_catalog!B:B),"")</f>
        <v>avg_x</v>
      </c>
    </row>
    <row r="33" spans="1:13" x14ac:dyDescent="0.4">
      <c r="A33" t="s">
        <v>578</v>
      </c>
      <c r="B33" t="s">
        <v>579</v>
      </c>
      <c r="C33" t="s">
        <v>486</v>
      </c>
      <c r="D33" t="s">
        <v>580</v>
      </c>
      <c r="E33" t="s">
        <v>581</v>
      </c>
      <c r="F33" t="s">
        <v>489</v>
      </c>
      <c r="G33" t="b">
        <v>0</v>
      </c>
      <c r="H33" t="s">
        <v>582</v>
      </c>
      <c r="I33" t="s">
        <v>583</v>
      </c>
      <c r="J33" t="s">
        <v>578</v>
      </c>
      <c r="L33" s="4" t="s">
        <v>647</v>
      </c>
      <c r="M33" t="str">
        <f>IFERROR(_xlfn.XLOOKUP(B33,feature_catalog!B:B,feature_catalog!B:B),"")</f>
        <v>avg_y</v>
      </c>
    </row>
    <row r="34" spans="1:13" x14ac:dyDescent="0.4">
      <c r="A34" t="s">
        <v>484</v>
      </c>
      <c r="B34" t="s">
        <v>485</v>
      </c>
      <c r="C34" t="s">
        <v>486</v>
      </c>
      <c r="D34" t="s">
        <v>487</v>
      </c>
      <c r="E34" t="s">
        <v>488</v>
      </c>
      <c r="F34" t="s">
        <v>489</v>
      </c>
      <c r="G34" t="b">
        <v>0</v>
      </c>
      <c r="H34" t="s">
        <v>490</v>
      </c>
      <c r="I34" t="s">
        <v>491</v>
      </c>
      <c r="J34" t="s">
        <v>484</v>
      </c>
      <c r="L34" s="4" t="s">
        <v>647</v>
      </c>
      <c r="M34" t="str">
        <f>IFERROR(_xlfn.XLOOKUP(B34,feature_catalog!B:B,feature_catalog!B:B),"")</f>
        <v>ss_rating</v>
      </c>
    </row>
    <row r="35" spans="1:13" x14ac:dyDescent="0.4">
      <c r="M35">
        <f>IFERROR(_xlfn.XLOOKUP(B35,feature_catalog!B:B,feature_catalog!B:B),"")</f>
        <v>0</v>
      </c>
    </row>
    <row r="36" spans="1:13" x14ac:dyDescent="0.4">
      <c r="M36">
        <f>IFERROR(_xlfn.XLOOKUP(B36,feature_catalog!B:B,feature_catalog!B:B),"")</f>
        <v>0</v>
      </c>
    </row>
    <row r="37" spans="1:13" x14ac:dyDescent="0.4">
      <c r="M37">
        <f>IFERROR(_xlfn.XLOOKUP(B37,feature_catalog!B:B,feature_catalog!B:B),"")</f>
        <v>0</v>
      </c>
    </row>
    <row r="38" spans="1:13" x14ac:dyDescent="0.4">
      <c r="M38">
        <f>IFERROR(_xlfn.XLOOKUP(B38,feature_catalog!B:B,feature_catalog!B:B),"")</f>
        <v>0</v>
      </c>
    </row>
    <row r="39" spans="1:13" x14ac:dyDescent="0.4">
      <c r="M39">
        <f>IFERROR(_xlfn.XLOOKUP(B39,feature_catalog!B:B,feature_catalog!B:B),"")</f>
        <v>0</v>
      </c>
    </row>
    <row r="40" spans="1:13" x14ac:dyDescent="0.4">
      <c r="M40">
        <f>IFERROR(_xlfn.XLOOKUP(B40,feature_catalog!B:B,feature_catalog!B:B),"")</f>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80DB2-04B7-4A7E-A535-0A10F7443582}">
  <dimension ref="A1:K34"/>
  <sheetViews>
    <sheetView topLeftCell="F1" workbookViewId="0">
      <pane ySplit="1" topLeftCell="A11" activePane="bottomLeft" state="frozen"/>
      <selection pane="bottomLeft" activeCell="L1" sqref="L1:M1048576"/>
    </sheetView>
  </sheetViews>
  <sheetFormatPr baseColWidth="10" defaultRowHeight="14.6" x14ac:dyDescent="0.4"/>
  <cols>
    <col min="1" max="1" width="25.4609375" bestFit="1" customWidth="1"/>
    <col min="2" max="2" width="16.84375" bestFit="1" customWidth="1"/>
    <col min="3" max="3" width="4.4609375" bestFit="1" customWidth="1"/>
    <col min="4" max="4" width="234.3046875" bestFit="1" customWidth="1"/>
    <col min="5" max="5" width="137.61328125" bestFit="1" customWidth="1"/>
    <col min="6" max="6" width="20.15234375" bestFit="1" customWidth="1"/>
    <col min="7" max="7" width="7.765625" bestFit="1" customWidth="1"/>
    <col min="8" max="8" width="20.84375" bestFit="1" customWidth="1"/>
    <col min="9" max="9" width="18.4609375" bestFit="1" customWidth="1"/>
    <col min="10" max="10" width="25.4609375" bestFit="1" customWidth="1"/>
    <col min="11" max="11" width="11" bestFit="1" customWidth="1"/>
  </cols>
  <sheetData>
    <row r="1" spans="1:11" x14ac:dyDescent="0.4">
      <c r="A1" s="10" t="s">
        <v>0</v>
      </c>
      <c r="B1" s="10" t="s">
        <v>1</v>
      </c>
      <c r="C1" s="10" t="s">
        <v>2</v>
      </c>
      <c r="D1" s="10" t="s">
        <v>3</v>
      </c>
      <c r="E1" s="10" t="s">
        <v>4</v>
      </c>
      <c r="F1" s="10" t="s">
        <v>5</v>
      </c>
      <c r="G1" s="10" t="s">
        <v>6</v>
      </c>
      <c r="H1" s="10" t="s">
        <v>7</v>
      </c>
      <c r="I1" s="10" t="s">
        <v>8</v>
      </c>
      <c r="J1" s="10" t="s">
        <v>0</v>
      </c>
      <c r="K1" s="10" t="s">
        <v>645</v>
      </c>
    </row>
    <row r="2" spans="1:11" x14ac:dyDescent="0.4">
      <c r="A2" t="s">
        <v>125</v>
      </c>
      <c r="B2" t="s">
        <v>126</v>
      </c>
      <c r="C2" t="s">
        <v>11</v>
      </c>
      <c r="D2" t="s">
        <v>127</v>
      </c>
      <c r="E2" t="s">
        <v>128</v>
      </c>
      <c r="F2" t="s">
        <v>129</v>
      </c>
      <c r="G2" t="b">
        <v>0</v>
      </c>
      <c r="H2" t="s">
        <v>130</v>
      </c>
      <c r="I2" t="s">
        <v>131</v>
      </c>
      <c r="J2" t="s">
        <v>125</v>
      </c>
    </row>
    <row r="3" spans="1:11" x14ac:dyDescent="0.4">
      <c r="A3" t="s">
        <v>113</v>
      </c>
      <c r="B3" t="s">
        <v>114</v>
      </c>
      <c r="C3" t="s">
        <v>11</v>
      </c>
      <c r="D3" t="s">
        <v>115</v>
      </c>
      <c r="E3" t="s">
        <v>116</v>
      </c>
      <c r="F3" t="s">
        <v>96</v>
      </c>
      <c r="G3" t="b">
        <v>0</v>
      </c>
      <c r="H3" t="s">
        <v>117</v>
      </c>
      <c r="I3" t="s">
        <v>118</v>
      </c>
      <c r="J3" t="s">
        <v>113</v>
      </c>
      <c r="K3">
        <v>2</v>
      </c>
    </row>
    <row r="4" spans="1:11" x14ac:dyDescent="0.4">
      <c r="A4" t="s">
        <v>119</v>
      </c>
      <c r="B4" t="s">
        <v>120</v>
      </c>
      <c r="C4" t="s">
        <v>11</v>
      </c>
      <c r="D4" t="s">
        <v>121</v>
      </c>
      <c r="E4" t="s">
        <v>122</v>
      </c>
      <c r="F4" t="s">
        <v>96</v>
      </c>
      <c r="G4" t="b">
        <v>0</v>
      </c>
      <c r="H4" t="s">
        <v>123</v>
      </c>
      <c r="I4" t="s">
        <v>124</v>
      </c>
      <c r="J4" t="s">
        <v>119</v>
      </c>
    </row>
    <row r="5" spans="1:11" x14ac:dyDescent="0.4">
      <c r="A5" t="s">
        <v>92</v>
      </c>
      <c r="B5" t="s">
        <v>93</v>
      </c>
      <c r="C5" t="s">
        <v>11</v>
      </c>
      <c r="D5" t="s">
        <v>94</v>
      </c>
      <c r="E5" t="s">
        <v>95</v>
      </c>
      <c r="F5" t="s">
        <v>96</v>
      </c>
      <c r="G5" t="b">
        <v>0</v>
      </c>
      <c r="H5" t="s">
        <v>97</v>
      </c>
      <c r="I5" t="s">
        <v>98</v>
      </c>
      <c r="J5" t="s">
        <v>92</v>
      </c>
    </row>
    <row r="6" spans="1:11" x14ac:dyDescent="0.4">
      <c r="A6" t="s">
        <v>132</v>
      </c>
      <c r="B6" t="s">
        <v>133</v>
      </c>
      <c r="C6" t="s">
        <v>11</v>
      </c>
      <c r="D6" t="s">
        <v>134</v>
      </c>
      <c r="E6" t="s">
        <v>135</v>
      </c>
      <c r="F6" t="s">
        <v>136</v>
      </c>
      <c r="G6" t="b">
        <v>0</v>
      </c>
      <c r="H6" t="s">
        <v>137</v>
      </c>
      <c r="I6" t="s">
        <v>138</v>
      </c>
      <c r="J6" t="s">
        <v>132</v>
      </c>
      <c r="K6">
        <v>2</v>
      </c>
    </row>
    <row r="7" spans="1:11" x14ac:dyDescent="0.4">
      <c r="A7" t="s">
        <v>139</v>
      </c>
      <c r="B7" t="s">
        <v>140</v>
      </c>
      <c r="C7" t="s">
        <v>11</v>
      </c>
      <c r="D7" t="s">
        <v>141</v>
      </c>
      <c r="E7" t="s">
        <v>142</v>
      </c>
      <c r="F7" t="s">
        <v>143</v>
      </c>
      <c r="G7" t="b">
        <v>0</v>
      </c>
      <c r="H7" t="s">
        <v>144</v>
      </c>
      <c r="I7" t="s">
        <v>145</v>
      </c>
      <c r="J7" t="s">
        <v>139</v>
      </c>
    </row>
    <row r="8" spans="1:11" x14ac:dyDescent="0.4">
      <c r="A8" t="s">
        <v>147</v>
      </c>
      <c r="B8" t="s">
        <v>148</v>
      </c>
      <c r="C8" t="s">
        <v>11</v>
      </c>
      <c r="D8" t="s">
        <v>149</v>
      </c>
      <c r="E8" t="s">
        <v>150</v>
      </c>
      <c r="F8" t="s">
        <v>136</v>
      </c>
      <c r="G8" t="b">
        <v>0</v>
      </c>
      <c r="H8" t="s">
        <v>151</v>
      </c>
      <c r="I8" t="s">
        <v>152</v>
      </c>
      <c r="J8" t="s">
        <v>147</v>
      </c>
    </row>
    <row r="9" spans="1:11" x14ac:dyDescent="0.4">
      <c r="A9" t="s">
        <v>106</v>
      </c>
      <c r="B9" t="s">
        <v>107</v>
      </c>
      <c r="C9" t="s">
        <v>11</v>
      </c>
      <c r="D9" t="s">
        <v>108</v>
      </c>
      <c r="E9" t="s">
        <v>109</v>
      </c>
      <c r="F9" t="s">
        <v>110</v>
      </c>
      <c r="G9" t="b">
        <v>0</v>
      </c>
      <c r="H9" t="s">
        <v>111</v>
      </c>
      <c r="I9" t="s">
        <v>112</v>
      </c>
      <c r="J9" t="s">
        <v>106</v>
      </c>
      <c r="K9">
        <v>1</v>
      </c>
    </row>
    <row r="10" spans="1:11" x14ac:dyDescent="0.4">
      <c r="A10" t="s">
        <v>99</v>
      </c>
      <c r="B10" t="s">
        <v>100</v>
      </c>
      <c r="C10" t="s">
        <v>11</v>
      </c>
      <c r="D10" t="s">
        <v>101</v>
      </c>
      <c r="E10" t="s">
        <v>102</v>
      </c>
      <c r="F10" t="s">
        <v>103</v>
      </c>
      <c r="G10" t="b">
        <v>0</v>
      </c>
      <c r="H10" t="s">
        <v>104</v>
      </c>
      <c r="I10" t="s">
        <v>105</v>
      </c>
      <c r="J10" t="s">
        <v>99</v>
      </c>
    </row>
    <row r="11" spans="1:11" x14ac:dyDescent="0.4">
      <c r="A11" t="s">
        <v>38</v>
      </c>
      <c r="B11" t="s">
        <v>39</v>
      </c>
      <c r="C11" t="s">
        <v>11</v>
      </c>
      <c r="D11" t="s">
        <v>40</v>
      </c>
      <c r="E11" t="s">
        <v>41</v>
      </c>
      <c r="F11" t="s">
        <v>42</v>
      </c>
      <c r="G11" t="b">
        <v>0</v>
      </c>
      <c r="H11" t="s">
        <v>43</v>
      </c>
      <c r="I11" t="s">
        <v>44</v>
      </c>
      <c r="J11" t="s">
        <v>38</v>
      </c>
      <c r="K11">
        <v>2</v>
      </c>
    </row>
    <row r="12" spans="1:11" x14ac:dyDescent="0.4">
      <c r="A12" t="s">
        <v>31</v>
      </c>
      <c r="B12" t="s">
        <v>32</v>
      </c>
      <c r="C12" t="s">
        <v>11</v>
      </c>
      <c r="D12" t="s">
        <v>33</v>
      </c>
      <c r="E12" t="s">
        <v>34</v>
      </c>
      <c r="F12" t="s">
        <v>35</v>
      </c>
      <c r="G12" t="b">
        <v>0</v>
      </c>
      <c r="H12" t="s">
        <v>36</v>
      </c>
      <c r="I12" t="s">
        <v>37</v>
      </c>
      <c r="J12" t="s">
        <v>31</v>
      </c>
      <c r="K12">
        <v>1</v>
      </c>
    </row>
    <row r="13" spans="1:11" x14ac:dyDescent="0.4">
      <c r="A13" t="s">
        <v>159</v>
      </c>
      <c r="B13" t="s">
        <v>160</v>
      </c>
      <c r="C13" t="s">
        <v>79</v>
      </c>
      <c r="D13" t="s">
        <v>161</v>
      </c>
      <c r="E13" t="s">
        <v>162</v>
      </c>
      <c r="F13" t="s">
        <v>163</v>
      </c>
      <c r="G13" t="b">
        <v>0</v>
      </c>
      <c r="H13" t="s">
        <v>164</v>
      </c>
      <c r="I13" t="s">
        <v>165</v>
      </c>
      <c r="J13" t="s">
        <v>159</v>
      </c>
      <c r="K13">
        <v>2</v>
      </c>
    </row>
    <row r="14" spans="1:11" x14ac:dyDescent="0.4">
      <c r="A14" t="s">
        <v>153</v>
      </c>
      <c r="B14" t="s">
        <v>154</v>
      </c>
      <c r="C14" t="s">
        <v>11</v>
      </c>
      <c r="D14" t="s">
        <v>155</v>
      </c>
      <c r="E14" t="s">
        <v>156</v>
      </c>
      <c r="F14" t="s">
        <v>110</v>
      </c>
      <c r="G14" t="b">
        <v>0</v>
      </c>
      <c r="H14" t="s">
        <v>157</v>
      </c>
      <c r="I14" t="s">
        <v>158</v>
      </c>
      <c r="J14" t="s">
        <v>153</v>
      </c>
    </row>
    <row r="15" spans="1:11" x14ac:dyDescent="0.4">
      <c r="A15" t="s">
        <v>173</v>
      </c>
      <c r="B15" t="s">
        <v>174</v>
      </c>
      <c r="C15" t="s">
        <v>79</v>
      </c>
      <c r="D15" t="s">
        <v>175</v>
      </c>
      <c r="E15" t="s">
        <v>176</v>
      </c>
      <c r="F15" t="s">
        <v>170</v>
      </c>
      <c r="G15" t="b">
        <v>0</v>
      </c>
      <c r="H15" t="s">
        <v>177</v>
      </c>
      <c r="I15" t="s">
        <v>178</v>
      </c>
      <c r="J15" t="s">
        <v>173</v>
      </c>
    </row>
    <row r="16" spans="1:11" x14ac:dyDescent="0.4">
      <c r="A16" t="s">
        <v>166</v>
      </c>
      <c r="B16" t="s">
        <v>167</v>
      </c>
      <c r="C16" t="s">
        <v>11</v>
      </c>
      <c r="D16" t="s">
        <v>168</v>
      </c>
      <c r="E16" t="s">
        <v>169</v>
      </c>
      <c r="F16" t="s">
        <v>170</v>
      </c>
      <c r="G16" t="b">
        <v>0</v>
      </c>
      <c r="H16" t="s">
        <v>171</v>
      </c>
      <c r="I16" t="s">
        <v>172</v>
      </c>
      <c r="J16" t="s">
        <v>166</v>
      </c>
    </row>
    <row r="17" spans="1:11" x14ac:dyDescent="0.4">
      <c r="A17" t="s">
        <v>212</v>
      </c>
      <c r="B17" t="s">
        <v>213</v>
      </c>
      <c r="C17" t="s">
        <v>11</v>
      </c>
      <c r="D17" t="s">
        <v>214</v>
      </c>
      <c r="E17" t="s">
        <v>215</v>
      </c>
      <c r="F17" t="s">
        <v>216</v>
      </c>
      <c r="G17" t="b">
        <v>0</v>
      </c>
      <c r="H17" t="s">
        <v>217</v>
      </c>
      <c r="I17" t="s">
        <v>218</v>
      </c>
      <c r="J17" t="s">
        <v>212</v>
      </c>
    </row>
    <row r="18" spans="1:11" x14ac:dyDescent="0.4">
      <c r="A18" t="s">
        <v>219</v>
      </c>
      <c r="B18" t="s">
        <v>220</v>
      </c>
      <c r="C18" t="s">
        <v>79</v>
      </c>
      <c r="D18" t="s">
        <v>221</v>
      </c>
      <c r="E18" t="s">
        <v>222</v>
      </c>
      <c r="F18" t="s">
        <v>223</v>
      </c>
      <c r="G18" t="b">
        <v>0</v>
      </c>
      <c r="H18" t="s">
        <v>224</v>
      </c>
      <c r="I18" t="s">
        <v>225</v>
      </c>
      <c r="J18" t="s">
        <v>219</v>
      </c>
      <c r="K18">
        <v>1</v>
      </c>
    </row>
    <row r="19" spans="1:11" x14ac:dyDescent="0.4">
      <c r="A19" t="s">
        <v>199</v>
      </c>
      <c r="B19" t="s">
        <v>200</v>
      </c>
      <c r="C19" t="s">
        <v>11</v>
      </c>
      <c r="D19" t="s">
        <v>201</v>
      </c>
      <c r="E19" t="s">
        <v>202</v>
      </c>
      <c r="F19" t="s">
        <v>203</v>
      </c>
      <c r="G19" t="b">
        <v>0</v>
      </c>
      <c r="H19" t="s">
        <v>204</v>
      </c>
      <c r="I19" t="s">
        <v>205</v>
      </c>
      <c r="J19" t="s">
        <v>199</v>
      </c>
    </row>
    <row r="20" spans="1:11" x14ac:dyDescent="0.4">
      <c r="A20" t="s">
        <v>238</v>
      </c>
      <c r="B20" t="s">
        <v>239</v>
      </c>
      <c r="C20" t="s">
        <v>11</v>
      </c>
      <c r="D20" t="s">
        <v>240</v>
      </c>
      <c r="E20" t="s">
        <v>241</v>
      </c>
      <c r="F20" t="s">
        <v>242</v>
      </c>
      <c r="G20" t="b">
        <v>1</v>
      </c>
      <c r="H20" t="s">
        <v>243</v>
      </c>
      <c r="I20" t="s">
        <v>244</v>
      </c>
      <c r="J20" t="s">
        <v>238</v>
      </c>
      <c r="K20">
        <v>1</v>
      </c>
    </row>
    <row r="21" spans="1:11" x14ac:dyDescent="0.4">
      <c r="A21" t="s">
        <v>232</v>
      </c>
      <c r="B21" t="s">
        <v>233</v>
      </c>
      <c r="C21" t="s">
        <v>11</v>
      </c>
      <c r="D21" t="s">
        <v>234</v>
      </c>
      <c r="E21" t="s">
        <v>235</v>
      </c>
      <c r="F21" t="s">
        <v>216</v>
      </c>
      <c r="G21" t="b">
        <v>1</v>
      </c>
      <c r="H21" t="s">
        <v>236</v>
      </c>
      <c r="I21" t="s">
        <v>237</v>
      </c>
      <c r="J21" t="s">
        <v>232</v>
      </c>
    </row>
    <row r="22" spans="1:11" x14ac:dyDescent="0.4">
      <c r="A22" t="s">
        <v>281</v>
      </c>
      <c r="B22" t="s">
        <v>282</v>
      </c>
      <c r="C22" t="s">
        <v>11</v>
      </c>
      <c r="D22" t="s">
        <v>283</v>
      </c>
      <c r="E22" t="s">
        <v>284</v>
      </c>
      <c r="F22" t="s">
        <v>249</v>
      </c>
      <c r="G22" t="b">
        <v>1</v>
      </c>
      <c r="H22" t="s">
        <v>285</v>
      </c>
      <c r="I22" t="s">
        <v>286</v>
      </c>
      <c r="J22" t="s">
        <v>281</v>
      </c>
    </row>
    <row r="23" spans="1:11" x14ac:dyDescent="0.4">
      <c r="A23" t="s">
        <v>45</v>
      </c>
      <c r="B23" t="s">
        <v>46</v>
      </c>
      <c r="C23" t="s">
        <v>11</v>
      </c>
      <c r="D23" t="s">
        <v>47</v>
      </c>
      <c r="E23" t="s">
        <v>48</v>
      </c>
      <c r="F23" t="s">
        <v>49</v>
      </c>
      <c r="G23" t="b">
        <v>0</v>
      </c>
      <c r="H23" t="s">
        <v>50</v>
      </c>
      <c r="I23" t="s">
        <v>51</v>
      </c>
      <c r="J23" t="s">
        <v>45</v>
      </c>
    </row>
    <row r="24" spans="1:11" x14ac:dyDescent="0.4">
      <c r="A24" t="s">
        <v>52</v>
      </c>
      <c r="B24" t="s">
        <v>53</v>
      </c>
      <c r="C24" t="s">
        <v>11</v>
      </c>
      <c r="D24" t="s">
        <v>54</v>
      </c>
      <c r="E24" t="s">
        <v>55</v>
      </c>
      <c r="F24" t="s">
        <v>49</v>
      </c>
      <c r="G24" t="b">
        <v>0</v>
      </c>
      <c r="H24" t="s">
        <v>56</v>
      </c>
      <c r="I24" t="s">
        <v>57</v>
      </c>
      <c r="J24" t="s">
        <v>52</v>
      </c>
    </row>
    <row r="25" spans="1:11" x14ac:dyDescent="0.4">
      <c r="A25" t="s">
        <v>71</v>
      </c>
      <c r="B25" t="s">
        <v>72</v>
      </c>
      <c r="C25" t="s">
        <v>11</v>
      </c>
      <c r="D25" t="s">
        <v>73</v>
      </c>
      <c r="E25" t="s">
        <v>74</v>
      </c>
      <c r="F25" t="s">
        <v>49</v>
      </c>
      <c r="G25" t="b">
        <v>0</v>
      </c>
      <c r="H25" t="s">
        <v>75</v>
      </c>
      <c r="I25" t="s">
        <v>76</v>
      </c>
      <c r="J25" t="s">
        <v>71</v>
      </c>
    </row>
    <row r="26" spans="1:11" x14ac:dyDescent="0.4">
      <c r="A26" t="s">
        <v>18</v>
      </c>
      <c r="B26" t="s">
        <v>19</v>
      </c>
      <c r="C26" t="s">
        <v>11</v>
      </c>
      <c r="D26" t="s">
        <v>20</v>
      </c>
      <c r="E26" t="s">
        <v>21</v>
      </c>
      <c r="F26" t="s">
        <v>22</v>
      </c>
      <c r="G26" t="b">
        <v>0</v>
      </c>
      <c r="H26" t="s">
        <v>23</v>
      </c>
      <c r="I26" t="s">
        <v>24</v>
      </c>
      <c r="J26" t="s">
        <v>18</v>
      </c>
    </row>
    <row r="27" spans="1:11" x14ac:dyDescent="0.4">
      <c r="A27" t="s">
        <v>25</v>
      </c>
      <c r="B27" t="s">
        <v>26</v>
      </c>
      <c r="C27" t="s">
        <v>11</v>
      </c>
      <c r="D27" t="s">
        <v>27</v>
      </c>
      <c r="E27" t="s">
        <v>28</v>
      </c>
      <c r="F27" t="s">
        <v>22</v>
      </c>
      <c r="G27" t="b">
        <v>0</v>
      </c>
      <c r="H27" t="s">
        <v>29</v>
      </c>
      <c r="I27" t="s">
        <v>30</v>
      </c>
      <c r="J27" t="s">
        <v>25</v>
      </c>
    </row>
    <row r="28" spans="1:11" x14ac:dyDescent="0.4">
      <c r="A28" t="s">
        <v>9</v>
      </c>
      <c r="B28" t="s">
        <v>10</v>
      </c>
      <c r="C28" t="s">
        <v>11</v>
      </c>
      <c r="D28" t="s">
        <v>12</v>
      </c>
      <c r="E28" t="s">
        <v>13</v>
      </c>
      <c r="F28" t="s">
        <v>14</v>
      </c>
      <c r="G28" t="b">
        <v>0</v>
      </c>
      <c r="H28" t="s">
        <v>16</v>
      </c>
      <c r="I28" t="s">
        <v>17</v>
      </c>
      <c r="J28" t="s">
        <v>9</v>
      </c>
    </row>
    <row r="29" spans="1:11" x14ac:dyDescent="0.4">
      <c r="A29" t="s">
        <v>258</v>
      </c>
      <c r="B29" t="s">
        <v>259</v>
      </c>
      <c r="C29" t="s">
        <v>11</v>
      </c>
      <c r="D29" t="s">
        <v>260</v>
      </c>
      <c r="E29" t="s">
        <v>261</v>
      </c>
      <c r="F29" t="s">
        <v>262</v>
      </c>
      <c r="G29" t="b">
        <v>0</v>
      </c>
      <c r="H29" t="s">
        <v>263</v>
      </c>
      <c r="I29" t="s">
        <v>264</v>
      </c>
      <c r="J29" t="s">
        <v>258</v>
      </c>
    </row>
    <row r="30" spans="1:11" x14ac:dyDescent="0.4">
      <c r="A30" t="s">
        <v>364</v>
      </c>
      <c r="B30" t="s">
        <v>365</v>
      </c>
      <c r="C30" t="s">
        <v>11</v>
      </c>
      <c r="D30" t="s">
        <v>366</v>
      </c>
      <c r="E30" t="s">
        <v>367</v>
      </c>
      <c r="F30" t="s">
        <v>349</v>
      </c>
      <c r="G30" t="b">
        <v>0</v>
      </c>
      <c r="H30" t="s">
        <v>368</v>
      </c>
      <c r="I30" t="s">
        <v>369</v>
      </c>
      <c r="J30" t="s">
        <v>364</v>
      </c>
    </row>
    <row r="31" spans="1:11" x14ac:dyDescent="0.4">
      <c r="A31" t="s">
        <v>245</v>
      </c>
      <c r="B31" t="s">
        <v>246</v>
      </c>
      <c r="C31" t="s">
        <v>11</v>
      </c>
      <c r="D31" t="s">
        <v>247</v>
      </c>
      <c r="E31" t="s">
        <v>248</v>
      </c>
      <c r="F31" t="s">
        <v>249</v>
      </c>
      <c r="G31" t="b">
        <v>0</v>
      </c>
      <c r="H31" t="s">
        <v>250</v>
      </c>
      <c r="I31" t="s">
        <v>251</v>
      </c>
      <c r="J31" t="s">
        <v>245</v>
      </c>
    </row>
    <row r="32" spans="1:11" x14ac:dyDescent="0.4">
      <c r="A32" t="s">
        <v>572</v>
      </c>
      <c r="B32" t="s">
        <v>573</v>
      </c>
      <c r="C32" t="s">
        <v>486</v>
      </c>
      <c r="D32" t="s">
        <v>574</v>
      </c>
      <c r="E32" t="s">
        <v>575</v>
      </c>
      <c r="F32" t="s">
        <v>489</v>
      </c>
      <c r="G32" t="b">
        <v>0</v>
      </c>
      <c r="H32" t="s">
        <v>576</v>
      </c>
      <c r="I32" t="s">
        <v>577</v>
      </c>
      <c r="J32" t="s">
        <v>572</v>
      </c>
    </row>
    <row r="33" spans="1:10" x14ac:dyDescent="0.4">
      <c r="A33" t="s">
        <v>578</v>
      </c>
      <c r="B33" t="s">
        <v>579</v>
      </c>
      <c r="C33" t="s">
        <v>486</v>
      </c>
      <c r="D33" t="s">
        <v>580</v>
      </c>
      <c r="E33" t="s">
        <v>581</v>
      </c>
      <c r="F33" t="s">
        <v>489</v>
      </c>
      <c r="G33" t="b">
        <v>0</v>
      </c>
      <c r="H33" t="s">
        <v>582</v>
      </c>
      <c r="I33" t="s">
        <v>583</v>
      </c>
      <c r="J33" t="s">
        <v>578</v>
      </c>
    </row>
    <row r="34" spans="1:10" x14ac:dyDescent="0.4">
      <c r="A34" t="s">
        <v>484</v>
      </c>
      <c r="B34" t="s">
        <v>485</v>
      </c>
      <c r="C34" t="s">
        <v>486</v>
      </c>
      <c r="D34" t="s">
        <v>487</v>
      </c>
      <c r="E34" t="s">
        <v>488</v>
      </c>
      <c r="F34" t="s">
        <v>489</v>
      </c>
      <c r="G34" t="b">
        <v>0</v>
      </c>
      <c r="H34" t="s">
        <v>490</v>
      </c>
      <c r="I34" t="s">
        <v>491</v>
      </c>
      <c r="J34" t="s">
        <v>484</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E0ED1-D367-4914-B6B7-78BC907610AA}">
  <dimension ref="A1:K34"/>
  <sheetViews>
    <sheetView topLeftCell="F1" workbookViewId="0">
      <pane ySplit="1" topLeftCell="A13" activePane="bottomLeft" state="frozen"/>
      <selection pane="bottomLeft" activeCell="L1" sqref="L1:L1048576"/>
    </sheetView>
  </sheetViews>
  <sheetFormatPr baseColWidth="10" defaultRowHeight="14.6" x14ac:dyDescent="0.4"/>
  <cols>
    <col min="1" max="1" width="25.4609375" bestFit="1" customWidth="1"/>
    <col min="2" max="2" width="16.84375" bestFit="1" customWidth="1"/>
    <col min="3" max="3" width="4.4609375" bestFit="1" customWidth="1"/>
    <col min="4" max="4" width="234.3046875" bestFit="1" customWidth="1"/>
    <col min="5" max="5" width="137.61328125" bestFit="1" customWidth="1"/>
    <col min="6" max="6" width="20.15234375" bestFit="1" customWidth="1"/>
    <col min="7" max="7" width="7.765625" bestFit="1" customWidth="1"/>
    <col min="8" max="8" width="20.84375" bestFit="1" customWidth="1"/>
    <col min="9" max="9" width="18.4609375" bestFit="1" customWidth="1"/>
    <col min="10" max="10" width="25.4609375" bestFit="1" customWidth="1"/>
    <col min="11" max="11" width="11" bestFit="1" customWidth="1"/>
  </cols>
  <sheetData>
    <row r="1" spans="1:11" x14ac:dyDescent="0.4">
      <c r="A1" s="10" t="s">
        <v>0</v>
      </c>
      <c r="B1" s="10" t="s">
        <v>1</v>
      </c>
      <c r="C1" s="10" t="s">
        <v>2</v>
      </c>
      <c r="D1" s="10" t="s">
        <v>3</v>
      </c>
      <c r="E1" s="10" t="s">
        <v>4</v>
      </c>
      <c r="F1" s="10" t="s">
        <v>5</v>
      </c>
      <c r="G1" s="10" t="s">
        <v>6</v>
      </c>
      <c r="H1" s="10" t="s">
        <v>7</v>
      </c>
      <c r="I1" s="10" t="s">
        <v>8</v>
      </c>
      <c r="J1" s="10" t="s">
        <v>0</v>
      </c>
      <c r="K1" s="10" t="s">
        <v>645</v>
      </c>
    </row>
    <row r="2" spans="1:11" x14ac:dyDescent="0.4">
      <c r="A2" t="s">
        <v>125</v>
      </c>
      <c r="B2" t="s">
        <v>126</v>
      </c>
      <c r="C2" t="s">
        <v>11</v>
      </c>
      <c r="D2" t="s">
        <v>127</v>
      </c>
      <c r="E2" t="s">
        <v>128</v>
      </c>
      <c r="F2" t="s">
        <v>129</v>
      </c>
      <c r="G2" t="b">
        <v>0</v>
      </c>
      <c r="H2" t="s">
        <v>130</v>
      </c>
      <c r="I2" t="s">
        <v>131</v>
      </c>
      <c r="J2" t="s">
        <v>125</v>
      </c>
      <c r="K2" s="12"/>
    </row>
    <row r="3" spans="1:11" x14ac:dyDescent="0.4">
      <c r="A3" t="s">
        <v>113</v>
      </c>
      <c r="B3" t="s">
        <v>114</v>
      </c>
      <c r="C3" t="s">
        <v>11</v>
      </c>
      <c r="D3" t="s">
        <v>115</v>
      </c>
      <c r="E3" t="s">
        <v>116</v>
      </c>
      <c r="F3" t="s">
        <v>96</v>
      </c>
      <c r="G3" t="b">
        <v>0</v>
      </c>
      <c r="H3" t="s">
        <v>117</v>
      </c>
      <c r="I3" t="s">
        <v>118</v>
      </c>
      <c r="J3" t="s">
        <v>113</v>
      </c>
      <c r="K3" s="12">
        <v>1</v>
      </c>
    </row>
    <row r="4" spans="1:11" x14ac:dyDescent="0.4">
      <c r="A4" t="s">
        <v>119</v>
      </c>
      <c r="B4" t="s">
        <v>120</v>
      </c>
      <c r="C4" t="s">
        <v>11</v>
      </c>
      <c r="D4" t="s">
        <v>121</v>
      </c>
      <c r="E4" t="s">
        <v>122</v>
      </c>
      <c r="F4" t="s">
        <v>96</v>
      </c>
      <c r="G4" t="b">
        <v>0</v>
      </c>
      <c r="H4" t="s">
        <v>123</v>
      </c>
      <c r="I4" t="s">
        <v>124</v>
      </c>
      <c r="J4" t="s">
        <v>119</v>
      </c>
      <c r="K4" s="12"/>
    </row>
    <row r="5" spans="1:11" x14ac:dyDescent="0.4">
      <c r="A5" t="s">
        <v>92</v>
      </c>
      <c r="B5" t="s">
        <v>93</v>
      </c>
      <c r="C5" t="s">
        <v>11</v>
      </c>
      <c r="D5" t="s">
        <v>94</v>
      </c>
      <c r="E5" t="s">
        <v>95</v>
      </c>
      <c r="F5" t="s">
        <v>96</v>
      </c>
      <c r="G5" t="b">
        <v>0</v>
      </c>
      <c r="H5" t="s">
        <v>97</v>
      </c>
      <c r="I5" t="s">
        <v>98</v>
      </c>
      <c r="J5" t="s">
        <v>92</v>
      </c>
      <c r="K5" s="12"/>
    </row>
    <row r="6" spans="1:11" x14ac:dyDescent="0.4">
      <c r="A6" t="s">
        <v>132</v>
      </c>
      <c r="B6" t="s">
        <v>133</v>
      </c>
      <c r="C6" t="s">
        <v>11</v>
      </c>
      <c r="D6" t="s">
        <v>134</v>
      </c>
      <c r="E6" t="s">
        <v>135</v>
      </c>
      <c r="F6" t="s">
        <v>136</v>
      </c>
      <c r="G6" t="b">
        <v>0</v>
      </c>
      <c r="H6" t="s">
        <v>137</v>
      </c>
      <c r="I6" t="s">
        <v>138</v>
      </c>
      <c r="J6" t="s">
        <v>132</v>
      </c>
      <c r="K6" s="12"/>
    </row>
    <row r="7" spans="1:11" x14ac:dyDescent="0.4">
      <c r="A7" t="s">
        <v>106</v>
      </c>
      <c r="B7" t="s">
        <v>107</v>
      </c>
      <c r="C7" t="s">
        <v>11</v>
      </c>
      <c r="D7" t="s">
        <v>108</v>
      </c>
      <c r="E7" t="s">
        <v>109</v>
      </c>
      <c r="F7" t="s">
        <v>110</v>
      </c>
      <c r="G7" t="b">
        <v>0</v>
      </c>
      <c r="H7" t="s">
        <v>111</v>
      </c>
      <c r="I7" t="s">
        <v>112</v>
      </c>
      <c r="J7" t="s">
        <v>106</v>
      </c>
      <c r="K7" s="12"/>
    </row>
    <row r="8" spans="1:11" x14ac:dyDescent="0.4">
      <c r="A8" t="s">
        <v>99</v>
      </c>
      <c r="B8" t="s">
        <v>100</v>
      </c>
      <c r="C8" t="s">
        <v>11</v>
      </c>
      <c r="D8" t="s">
        <v>101</v>
      </c>
      <c r="E8" t="s">
        <v>102</v>
      </c>
      <c r="F8" t="s">
        <v>103</v>
      </c>
      <c r="G8" t="b">
        <v>0</v>
      </c>
      <c r="H8" t="s">
        <v>104</v>
      </c>
      <c r="I8" t="s">
        <v>105</v>
      </c>
      <c r="J8" t="s">
        <v>99</v>
      </c>
      <c r="K8" s="12"/>
    </row>
    <row r="9" spans="1:11" x14ac:dyDescent="0.4">
      <c r="A9" t="s">
        <v>38</v>
      </c>
      <c r="B9" t="s">
        <v>39</v>
      </c>
      <c r="C9" t="s">
        <v>11</v>
      </c>
      <c r="D9" t="s">
        <v>40</v>
      </c>
      <c r="E9" t="s">
        <v>41</v>
      </c>
      <c r="F9" t="s">
        <v>42</v>
      </c>
      <c r="G9" t="b">
        <v>0</v>
      </c>
      <c r="H9" t="s">
        <v>43</v>
      </c>
      <c r="I9" t="s">
        <v>44</v>
      </c>
      <c r="J9" t="s">
        <v>38</v>
      </c>
      <c r="K9" s="12">
        <f>_xlfn.XLOOKUP(J9,meneur_jeu_recule_CM!J:J,meneur_jeu_recule_CM!K:K)</f>
        <v>2</v>
      </c>
    </row>
    <row r="10" spans="1:11" x14ac:dyDescent="0.4">
      <c r="A10" t="s">
        <v>31</v>
      </c>
      <c r="B10" t="s">
        <v>32</v>
      </c>
      <c r="C10" t="s">
        <v>11</v>
      </c>
      <c r="D10" t="s">
        <v>33</v>
      </c>
      <c r="E10" t="s">
        <v>34</v>
      </c>
      <c r="F10" t="s">
        <v>35</v>
      </c>
      <c r="G10" t="b">
        <v>0</v>
      </c>
      <c r="H10" t="s">
        <v>36</v>
      </c>
      <c r="I10" t="s">
        <v>37</v>
      </c>
      <c r="J10" t="s">
        <v>31</v>
      </c>
      <c r="K10" s="12">
        <f>_xlfn.XLOOKUP(J10,meneur_jeu_recule_CM!J:J,meneur_jeu_recule_CM!K:K)</f>
        <v>1</v>
      </c>
    </row>
    <row r="11" spans="1:11" x14ac:dyDescent="0.4">
      <c r="A11" t="s">
        <v>159</v>
      </c>
      <c r="B11" t="s">
        <v>160</v>
      </c>
      <c r="C11" t="s">
        <v>79</v>
      </c>
      <c r="D11" t="s">
        <v>161</v>
      </c>
      <c r="E11" t="s">
        <v>162</v>
      </c>
      <c r="F11" t="s">
        <v>163</v>
      </c>
      <c r="G11" t="b">
        <v>0</v>
      </c>
      <c r="H11" t="s">
        <v>164</v>
      </c>
      <c r="I11" t="s">
        <v>165</v>
      </c>
      <c r="J11" t="s">
        <v>159</v>
      </c>
      <c r="K11" s="12">
        <f>_xlfn.XLOOKUP(J11,meneur_jeu_recule_CM!J:J,meneur_jeu_recule_CM!K:K)</f>
        <v>2</v>
      </c>
    </row>
    <row r="12" spans="1:11" x14ac:dyDescent="0.4">
      <c r="A12" t="s">
        <v>153</v>
      </c>
      <c r="B12" t="s">
        <v>154</v>
      </c>
      <c r="C12" t="s">
        <v>11</v>
      </c>
      <c r="D12" t="s">
        <v>155</v>
      </c>
      <c r="E12" t="s">
        <v>156</v>
      </c>
      <c r="F12" t="s">
        <v>110</v>
      </c>
      <c r="G12" t="b">
        <v>0</v>
      </c>
      <c r="H12" t="s">
        <v>157</v>
      </c>
      <c r="I12" t="s">
        <v>158</v>
      </c>
      <c r="J12" t="s">
        <v>153</v>
      </c>
      <c r="K12" s="12">
        <f>_xlfn.XLOOKUP(J12,meneur_jeu_recule_CM!J:J,meneur_jeu_recule_CM!K:K)</f>
        <v>1</v>
      </c>
    </row>
    <row r="13" spans="1:11" x14ac:dyDescent="0.4">
      <c r="A13" t="s">
        <v>212</v>
      </c>
      <c r="B13" t="s">
        <v>213</v>
      </c>
      <c r="C13" t="s">
        <v>11</v>
      </c>
      <c r="D13" t="s">
        <v>214</v>
      </c>
      <c r="E13" t="s">
        <v>215</v>
      </c>
      <c r="F13" t="s">
        <v>216</v>
      </c>
      <c r="G13" t="b">
        <v>0</v>
      </c>
      <c r="H13" t="s">
        <v>217</v>
      </c>
      <c r="I13" t="s">
        <v>218</v>
      </c>
      <c r="J13" t="s">
        <v>212</v>
      </c>
      <c r="K13" s="12">
        <v>1</v>
      </c>
    </row>
    <row r="14" spans="1:11" x14ac:dyDescent="0.4">
      <c r="A14" t="s">
        <v>219</v>
      </c>
      <c r="B14" t="s">
        <v>220</v>
      </c>
      <c r="C14" t="s">
        <v>79</v>
      </c>
      <c r="D14" t="s">
        <v>221</v>
      </c>
      <c r="E14" t="s">
        <v>222</v>
      </c>
      <c r="F14" t="s">
        <v>223</v>
      </c>
      <c r="G14" t="b">
        <v>0</v>
      </c>
      <c r="H14" t="s">
        <v>224</v>
      </c>
      <c r="I14" t="s">
        <v>225</v>
      </c>
      <c r="J14" t="s">
        <v>219</v>
      </c>
      <c r="K14" s="12">
        <f>_xlfn.XLOOKUP(J14,meneur_jeu_recule_CM!J:J,meneur_jeu_recule_CM!K:K)</f>
        <v>1</v>
      </c>
    </row>
    <row r="15" spans="1:11" x14ac:dyDescent="0.4">
      <c r="A15" t="s">
        <v>226</v>
      </c>
      <c r="B15" t="s">
        <v>227</v>
      </c>
      <c r="C15" t="s">
        <v>11</v>
      </c>
      <c r="D15" t="s">
        <v>228</v>
      </c>
      <c r="E15" t="s">
        <v>229</v>
      </c>
      <c r="F15" t="s">
        <v>223</v>
      </c>
      <c r="G15" t="b">
        <v>0</v>
      </c>
      <c r="H15" t="s">
        <v>230</v>
      </c>
      <c r="I15" t="s">
        <v>231</v>
      </c>
      <c r="J15" t="s">
        <v>226</v>
      </c>
      <c r="K15" s="12"/>
    </row>
    <row r="16" spans="1:11" x14ac:dyDescent="0.4">
      <c r="A16" t="s">
        <v>199</v>
      </c>
      <c r="B16" t="s">
        <v>200</v>
      </c>
      <c r="C16" t="s">
        <v>11</v>
      </c>
      <c r="D16" t="s">
        <v>201</v>
      </c>
      <c r="E16" t="s">
        <v>202</v>
      </c>
      <c r="F16" t="s">
        <v>203</v>
      </c>
      <c r="G16" t="b">
        <v>0</v>
      </c>
      <c r="H16" t="s">
        <v>204</v>
      </c>
      <c r="I16" t="s">
        <v>205</v>
      </c>
      <c r="J16" t="s">
        <v>199</v>
      </c>
      <c r="K16" s="12">
        <f>_xlfn.XLOOKUP(J16,meneur_jeu_recule_CM!J:J,meneur_jeu_recule_CM!K:K)</f>
        <v>1</v>
      </c>
    </row>
    <row r="17" spans="1:11" x14ac:dyDescent="0.4">
      <c r="A17" t="s">
        <v>238</v>
      </c>
      <c r="B17" t="s">
        <v>239</v>
      </c>
      <c r="C17" t="s">
        <v>11</v>
      </c>
      <c r="D17" t="s">
        <v>240</v>
      </c>
      <c r="E17" t="s">
        <v>241</v>
      </c>
      <c r="F17" t="s">
        <v>242</v>
      </c>
      <c r="G17" t="b">
        <v>1</v>
      </c>
      <c r="H17" t="s">
        <v>243</v>
      </c>
      <c r="I17" t="s">
        <v>244</v>
      </c>
      <c r="J17" t="s">
        <v>238</v>
      </c>
      <c r="K17" s="12">
        <v>1</v>
      </c>
    </row>
    <row r="18" spans="1:11" x14ac:dyDescent="0.4">
      <c r="A18" t="s">
        <v>232</v>
      </c>
      <c r="B18" t="s">
        <v>233</v>
      </c>
      <c r="C18" t="s">
        <v>11</v>
      </c>
      <c r="D18" t="s">
        <v>234</v>
      </c>
      <c r="E18" t="s">
        <v>235</v>
      </c>
      <c r="F18" t="s">
        <v>216</v>
      </c>
      <c r="G18" t="b">
        <v>1</v>
      </c>
      <c r="H18" t="s">
        <v>236</v>
      </c>
      <c r="I18" t="s">
        <v>237</v>
      </c>
      <c r="J18" t="s">
        <v>232</v>
      </c>
      <c r="K18" s="12"/>
    </row>
    <row r="19" spans="1:11" x14ac:dyDescent="0.4">
      <c r="A19" t="s">
        <v>45</v>
      </c>
      <c r="B19" t="s">
        <v>46</v>
      </c>
      <c r="C19" t="s">
        <v>11</v>
      </c>
      <c r="D19" t="s">
        <v>47</v>
      </c>
      <c r="E19" t="s">
        <v>48</v>
      </c>
      <c r="F19" t="s">
        <v>49</v>
      </c>
      <c r="G19" t="b">
        <v>0</v>
      </c>
      <c r="H19" t="s">
        <v>50</v>
      </c>
      <c r="I19" t="s">
        <v>51</v>
      </c>
      <c r="J19" t="s">
        <v>45</v>
      </c>
      <c r="K19" s="12"/>
    </row>
    <row r="20" spans="1:11" x14ac:dyDescent="0.4">
      <c r="A20" t="s">
        <v>52</v>
      </c>
      <c r="B20" t="s">
        <v>53</v>
      </c>
      <c r="C20" t="s">
        <v>11</v>
      </c>
      <c r="D20" t="s">
        <v>54</v>
      </c>
      <c r="E20" t="s">
        <v>55</v>
      </c>
      <c r="F20" t="s">
        <v>49</v>
      </c>
      <c r="G20" t="b">
        <v>0</v>
      </c>
      <c r="H20" t="s">
        <v>56</v>
      </c>
      <c r="I20" t="s">
        <v>57</v>
      </c>
      <c r="J20" t="s">
        <v>52</v>
      </c>
      <c r="K20" s="12"/>
    </row>
    <row r="21" spans="1:11" x14ac:dyDescent="0.4">
      <c r="A21" t="s">
        <v>71</v>
      </c>
      <c r="B21" t="s">
        <v>72</v>
      </c>
      <c r="C21" t="s">
        <v>11</v>
      </c>
      <c r="D21" t="s">
        <v>73</v>
      </c>
      <c r="E21" t="s">
        <v>74</v>
      </c>
      <c r="F21" t="s">
        <v>49</v>
      </c>
      <c r="G21" t="b">
        <v>0</v>
      </c>
      <c r="H21" t="s">
        <v>75</v>
      </c>
      <c r="I21" t="s">
        <v>76</v>
      </c>
      <c r="J21" t="s">
        <v>71</v>
      </c>
      <c r="K21" s="12">
        <v>1.5</v>
      </c>
    </row>
    <row r="22" spans="1:11" x14ac:dyDescent="0.4">
      <c r="A22" t="s">
        <v>18</v>
      </c>
      <c r="B22" t="s">
        <v>19</v>
      </c>
      <c r="C22" t="s">
        <v>11</v>
      </c>
      <c r="D22" t="s">
        <v>20</v>
      </c>
      <c r="E22" t="s">
        <v>21</v>
      </c>
      <c r="F22" t="s">
        <v>22</v>
      </c>
      <c r="G22" t="b">
        <v>0</v>
      </c>
      <c r="H22" t="s">
        <v>23</v>
      </c>
      <c r="I22" t="s">
        <v>24</v>
      </c>
      <c r="J22" t="s">
        <v>18</v>
      </c>
      <c r="K22" s="12"/>
    </row>
    <row r="23" spans="1:11" x14ac:dyDescent="0.4">
      <c r="A23" t="s">
        <v>652</v>
      </c>
      <c r="B23" t="s">
        <v>26</v>
      </c>
      <c r="C23" t="s">
        <v>11</v>
      </c>
      <c r="D23" t="s">
        <v>27</v>
      </c>
      <c r="E23" t="s">
        <v>28</v>
      </c>
      <c r="F23" t="s">
        <v>22</v>
      </c>
      <c r="G23" t="b">
        <v>0</v>
      </c>
      <c r="H23" t="s">
        <v>29</v>
      </c>
      <c r="I23" t="s">
        <v>30</v>
      </c>
      <c r="J23" t="s">
        <v>652</v>
      </c>
      <c r="K23" s="12">
        <v>1</v>
      </c>
    </row>
    <row r="24" spans="1:11" x14ac:dyDescent="0.4">
      <c r="A24" t="s">
        <v>9</v>
      </c>
      <c r="B24" t="s">
        <v>10</v>
      </c>
      <c r="C24" t="s">
        <v>11</v>
      </c>
      <c r="D24" t="s">
        <v>12</v>
      </c>
      <c r="E24" t="s">
        <v>13</v>
      </c>
      <c r="F24" t="s">
        <v>14</v>
      </c>
      <c r="G24" t="b">
        <v>0</v>
      </c>
      <c r="H24" t="s">
        <v>16</v>
      </c>
      <c r="I24" t="s">
        <v>17</v>
      </c>
      <c r="J24" t="s">
        <v>9</v>
      </c>
      <c r="K24" s="12"/>
    </row>
    <row r="25" spans="1:11" x14ac:dyDescent="0.4">
      <c r="A25" t="s">
        <v>77</v>
      </c>
      <c r="B25" t="s">
        <v>78</v>
      </c>
      <c r="C25" t="s">
        <v>79</v>
      </c>
      <c r="D25" t="s">
        <v>80</v>
      </c>
      <c r="E25" t="s">
        <v>81</v>
      </c>
      <c r="F25" t="s">
        <v>49</v>
      </c>
      <c r="G25" t="b">
        <v>0</v>
      </c>
      <c r="H25" t="s">
        <v>82</v>
      </c>
      <c r="I25" t="s">
        <v>83</v>
      </c>
      <c r="J25" t="s">
        <v>77</v>
      </c>
      <c r="K25" s="12"/>
    </row>
    <row r="26" spans="1:11" x14ac:dyDescent="0.4">
      <c r="A26" t="s">
        <v>252</v>
      </c>
      <c r="B26" t="s">
        <v>253</v>
      </c>
      <c r="C26" t="s">
        <v>11</v>
      </c>
      <c r="D26" t="s">
        <v>254</v>
      </c>
      <c r="E26" t="s">
        <v>255</v>
      </c>
      <c r="F26" t="s">
        <v>49</v>
      </c>
      <c r="G26" t="b">
        <v>0</v>
      </c>
      <c r="H26" t="s">
        <v>256</v>
      </c>
      <c r="I26" t="s">
        <v>257</v>
      </c>
      <c r="J26" t="s">
        <v>252</v>
      </c>
      <c r="K26" s="12"/>
    </row>
    <row r="27" spans="1:11" x14ac:dyDescent="0.4">
      <c r="A27" t="s">
        <v>275</v>
      </c>
      <c r="B27" t="s">
        <v>276</v>
      </c>
      <c r="C27" t="s">
        <v>11</v>
      </c>
      <c r="D27" t="s">
        <v>277</v>
      </c>
      <c r="E27" t="s">
        <v>278</v>
      </c>
      <c r="F27" t="s">
        <v>49</v>
      </c>
      <c r="G27" t="b">
        <v>0</v>
      </c>
      <c r="H27" t="s">
        <v>279</v>
      </c>
      <c r="I27" t="s">
        <v>280</v>
      </c>
      <c r="J27" t="s">
        <v>275</v>
      </c>
      <c r="K27" s="12"/>
    </row>
    <row r="28" spans="1:11" x14ac:dyDescent="0.4">
      <c r="A28" t="s">
        <v>245</v>
      </c>
      <c r="B28" t="s">
        <v>246</v>
      </c>
      <c r="C28" t="s">
        <v>11</v>
      </c>
      <c r="D28" t="s">
        <v>247</v>
      </c>
      <c r="E28" t="s">
        <v>248</v>
      </c>
      <c r="F28" t="s">
        <v>249</v>
      </c>
      <c r="G28" t="b">
        <v>0</v>
      </c>
      <c r="H28" t="s">
        <v>250</v>
      </c>
      <c r="I28" t="s">
        <v>251</v>
      </c>
      <c r="J28" t="s">
        <v>245</v>
      </c>
      <c r="K28" s="12"/>
    </row>
    <row r="29" spans="1:11" x14ac:dyDescent="0.4">
      <c r="A29" t="s">
        <v>364</v>
      </c>
      <c r="B29" t="s">
        <v>365</v>
      </c>
      <c r="C29" t="s">
        <v>11</v>
      </c>
      <c r="D29" t="s">
        <v>366</v>
      </c>
      <c r="E29" t="s">
        <v>367</v>
      </c>
      <c r="F29" t="s">
        <v>349</v>
      </c>
      <c r="G29" t="b">
        <v>0</v>
      </c>
      <c r="H29" t="s">
        <v>368</v>
      </c>
      <c r="I29" t="s">
        <v>369</v>
      </c>
      <c r="J29" t="s">
        <v>364</v>
      </c>
      <c r="K29" s="12"/>
    </row>
    <row r="30" spans="1:11" x14ac:dyDescent="0.4">
      <c r="A30" t="s">
        <v>258</v>
      </c>
      <c r="B30" t="s">
        <v>259</v>
      </c>
      <c r="C30" t="s">
        <v>11</v>
      </c>
      <c r="D30" t="s">
        <v>260</v>
      </c>
      <c r="E30" t="s">
        <v>261</v>
      </c>
      <c r="F30" t="s">
        <v>262</v>
      </c>
      <c r="G30" t="b">
        <v>0</v>
      </c>
      <c r="H30" t="s">
        <v>263</v>
      </c>
      <c r="I30" t="s">
        <v>264</v>
      </c>
      <c r="J30" t="s">
        <v>258</v>
      </c>
      <c r="K30" s="12"/>
    </row>
    <row r="31" spans="1:11" x14ac:dyDescent="0.4">
      <c r="A31" t="s">
        <v>329</v>
      </c>
      <c r="B31" t="s">
        <v>330</v>
      </c>
      <c r="C31" t="s">
        <v>11</v>
      </c>
      <c r="D31" t="s">
        <v>331</v>
      </c>
      <c r="E31" t="s">
        <v>332</v>
      </c>
      <c r="F31" t="s">
        <v>333</v>
      </c>
      <c r="G31" t="b">
        <v>1</v>
      </c>
      <c r="H31" t="s">
        <v>334</v>
      </c>
      <c r="I31" t="s">
        <v>335</v>
      </c>
      <c r="J31" t="s">
        <v>329</v>
      </c>
      <c r="K31" s="12"/>
    </row>
    <row r="32" spans="1:11" x14ac:dyDescent="0.4">
      <c r="A32" t="s">
        <v>572</v>
      </c>
      <c r="B32" t="s">
        <v>573</v>
      </c>
      <c r="C32" t="s">
        <v>486</v>
      </c>
      <c r="D32" t="s">
        <v>574</v>
      </c>
      <c r="E32" t="s">
        <v>575</v>
      </c>
      <c r="F32" t="s">
        <v>489</v>
      </c>
      <c r="G32" t="b">
        <v>0</v>
      </c>
      <c r="H32" t="s">
        <v>576</v>
      </c>
      <c r="I32" t="s">
        <v>577</v>
      </c>
      <c r="J32" t="s">
        <v>572</v>
      </c>
      <c r="K32" s="12"/>
    </row>
    <row r="33" spans="1:11" x14ac:dyDescent="0.4">
      <c r="A33" t="s">
        <v>578</v>
      </c>
      <c r="B33" t="s">
        <v>579</v>
      </c>
      <c r="C33" t="s">
        <v>486</v>
      </c>
      <c r="D33" t="s">
        <v>580</v>
      </c>
      <c r="E33" t="s">
        <v>581</v>
      </c>
      <c r="F33" t="s">
        <v>489</v>
      </c>
      <c r="G33" t="b">
        <v>0</v>
      </c>
      <c r="H33" t="s">
        <v>582</v>
      </c>
      <c r="I33" t="s">
        <v>583</v>
      </c>
      <c r="J33" t="s">
        <v>578</v>
      </c>
      <c r="K33" s="12"/>
    </row>
    <row r="34" spans="1:11" x14ac:dyDescent="0.4">
      <c r="A34" t="s">
        <v>484</v>
      </c>
      <c r="B34" t="s">
        <v>485</v>
      </c>
      <c r="C34" t="s">
        <v>486</v>
      </c>
      <c r="D34" t="s">
        <v>487</v>
      </c>
      <c r="E34" t="s">
        <v>488</v>
      </c>
      <c r="F34" t="s">
        <v>489</v>
      </c>
      <c r="G34" t="b">
        <v>0</v>
      </c>
      <c r="H34" t="s">
        <v>490</v>
      </c>
      <c r="I34" t="s">
        <v>491</v>
      </c>
      <c r="J34" t="s">
        <v>484</v>
      </c>
      <c r="K34" s="12"/>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DF5A-8295-4262-BE10-81D8DFC1EF81}">
  <dimension ref="A1:K31"/>
  <sheetViews>
    <sheetView topLeftCell="F1" workbookViewId="0">
      <pane ySplit="1" topLeftCell="A10" activePane="bottomLeft" state="frozen"/>
      <selection pane="bottomLeft" activeCell="L1" sqref="L1:L1048576"/>
    </sheetView>
  </sheetViews>
  <sheetFormatPr baseColWidth="10" defaultRowHeight="14.6" x14ac:dyDescent="0.4"/>
  <cols>
    <col min="1" max="1" width="25.4609375" bestFit="1" customWidth="1"/>
    <col min="2" max="2" width="16.84375" bestFit="1" customWidth="1"/>
    <col min="3" max="3" width="4.4609375" bestFit="1" customWidth="1"/>
    <col min="4" max="4" width="234.3046875" bestFit="1" customWidth="1"/>
    <col min="5" max="5" width="130.921875" bestFit="1" customWidth="1"/>
    <col min="6" max="6" width="20.15234375" bestFit="1" customWidth="1"/>
    <col min="7" max="7" width="7.765625" bestFit="1" customWidth="1"/>
    <col min="8" max="8" width="20.84375" bestFit="1" customWidth="1"/>
    <col min="9" max="9" width="18.4609375" bestFit="1" customWidth="1"/>
    <col min="10" max="10" width="25.4609375" bestFit="1" customWidth="1"/>
    <col min="11" max="11" width="25.4609375" customWidth="1"/>
  </cols>
  <sheetData>
    <row r="1" spans="1:11" x14ac:dyDescent="0.4">
      <c r="A1" s="13" t="s">
        <v>0</v>
      </c>
      <c r="B1" s="13" t="s">
        <v>1</v>
      </c>
      <c r="C1" s="13" t="s">
        <v>2</v>
      </c>
      <c r="D1" s="13" t="s">
        <v>3</v>
      </c>
      <c r="E1" s="13" t="s">
        <v>4</v>
      </c>
      <c r="F1" s="13" t="s">
        <v>5</v>
      </c>
      <c r="G1" s="13" t="s">
        <v>6</v>
      </c>
      <c r="H1" s="13" t="s">
        <v>7</v>
      </c>
      <c r="I1" s="13" t="s">
        <v>8</v>
      </c>
      <c r="J1" s="13" t="s">
        <v>0</v>
      </c>
      <c r="K1" s="13"/>
    </row>
    <row r="2" spans="1:11" x14ac:dyDescent="0.4">
      <c r="A2" t="s">
        <v>125</v>
      </c>
      <c r="B2" t="s">
        <v>126</v>
      </c>
      <c r="C2" t="s">
        <v>11</v>
      </c>
      <c r="D2" t="s">
        <v>127</v>
      </c>
      <c r="E2" t="s">
        <v>128</v>
      </c>
      <c r="F2" t="s">
        <v>129</v>
      </c>
      <c r="G2" t="b">
        <v>0</v>
      </c>
      <c r="H2" t="s">
        <v>130</v>
      </c>
      <c r="I2" t="s">
        <v>131</v>
      </c>
      <c r="J2" t="s">
        <v>125</v>
      </c>
    </row>
    <row r="3" spans="1:11" x14ac:dyDescent="0.4">
      <c r="A3" t="s">
        <v>113</v>
      </c>
      <c r="B3" t="s">
        <v>114</v>
      </c>
      <c r="C3" t="s">
        <v>11</v>
      </c>
      <c r="D3" t="s">
        <v>115</v>
      </c>
      <c r="E3" t="s">
        <v>116</v>
      </c>
      <c r="F3" t="s">
        <v>96</v>
      </c>
      <c r="G3" t="b">
        <v>0</v>
      </c>
      <c r="H3" t="s">
        <v>117</v>
      </c>
      <c r="I3" t="s">
        <v>118</v>
      </c>
      <c r="J3" t="s">
        <v>113</v>
      </c>
      <c r="K3">
        <v>1</v>
      </c>
    </row>
    <row r="4" spans="1:11" x14ac:dyDescent="0.4">
      <c r="A4" t="s">
        <v>119</v>
      </c>
      <c r="B4" t="s">
        <v>120</v>
      </c>
      <c r="C4" t="s">
        <v>11</v>
      </c>
      <c r="D4" t="s">
        <v>121</v>
      </c>
      <c r="E4" t="s">
        <v>122</v>
      </c>
      <c r="F4" t="s">
        <v>96</v>
      </c>
      <c r="G4" t="b">
        <v>0</v>
      </c>
      <c r="H4" t="s">
        <v>123</v>
      </c>
      <c r="I4" t="s">
        <v>124</v>
      </c>
      <c r="J4" t="s">
        <v>119</v>
      </c>
    </row>
    <row r="5" spans="1:11" x14ac:dyDescent="0.4">
      <c r="A5" t="s">
        <v>92</v>
      </c>
      <c r="B5" t="s">
        <v>93</v>
      </c>
      <c r="C5" t="s">
        <v>11</v>
      </c>
      <c r="D5" t="s">
        <v>94</v>
      </c>
      <c r="E5" t="s">
        <v>95</v>
      </c>
      <c r="F5" t="s">
        <v>96</v>
      </c>
      <c r="G5" t="b">
        <v>0</v>
      </c>
      <c r="H5" t="s">
        <v>97</v>
      </c>
      <c r="I5" t="s">
        <v>98</v>
      </c>
      <c r="J5" t="s">
        <v>92</v>
      </c>
    </row>
    <row r="6" spans="1:11" x14ac:dyDescent="0.4">
      <c r="A6" t="s">
        <v>132</v>
      </c>
      <c r="B6" t="s">
        <v>133</v>
      </c>
      <c r="C6" t="s">
        <v>11</v>
      </c>
      <c r="D6" t="s">
        <v>134</v>
      </c>
      <c r="E6" t="s">
        <v>135</v>
      </c>
      <c r="F6" t="s">
        <v>136</v>
      </c>
      <c r="G6" t="b">
        <v>0</v>
      </c>
      <c r="H6" t="s">
        <v>137</v>
      </c>
      <c r="I6" t="s">
        <v>138</v>
      </c>
      <c r="J6" t="s">
        <v>132</v>
      </c>
      <c r="K6">
        <v>2</v>
      </c>
    </row>
    <row r="7" spans="1:11" x14ac:dyDescent="0.4">
      <c r="A7" t="s">
        <v>106</v>
      </c>
      <c r="B7" t="s">
        <v>107</v>
      </c>
      <c r="C7" t="s">
        <v>11</v>
      </c>
      <c r="D7" t="s">
        <v>108</v>
      </c>
      <c r="E7" t="s">
        <v>109</v>
      </c>
      <c r="F7" t="s">
        <v>110</v>
      </c>
      <c r="G7" t="b">
        <v>0</v>
      </c>
      <c r="H7" t="s">
        <v>111</v>
      </c>
      <c r="I7" t="s">
        <v>112</v>
      </c>
      <c r="J7" t="s">
        <v>106</v>
      </c>
      <c r="K7">
        <v>1</v>
      </c>
    </row>
    <row r="8" spans="1:11" x14ac:dyDescent="0.4">
      <c r="A8" t="s">
        <v>99</v>
      </c>
      <c r="B8" t="s">
        <v>100</v>
      </c>
      <c r="C8" t="s">
        <v>11</v>
      </c>
      <c r="D8" t="s">
        <v>101</v>
      </c>
      <c r="E8" t="s">
        <v>102</v>
      </c>
      <c r="F8" t="s">
        <v>103</v>
      </c>
      <c r="G8" t="b">
        <v>0</v>
      </c>
      <c r="H8" t="s">
        <v>104</v>
      </c>
      <c r="I8" t="s">
        <v>105</v>
      </c>
      <c r="J8" t="s">
        <v>99</v>
      </c>
    </row>
    <row r="9" spans="1:11" x14ac:dyDescent="0.4">
      <c r="A9" t="s">
        <v>38</v>
      </c>
      <c r="B9" t="s">
        <v>39</v>
      </c>
      <c r="C9" t="s">
        <v>11</v>
      </c>
      <c r="D9" t="s">
        <v>40</v>
      </c>
      <c r="E9" t="s">
        <v>41</v>
      </c>
      <c r="F9" t="s">
        <v>42</v>
      </c>
      <c r="G9" t="b">
        <v>0</v>
      </c>
      <c r="H9" t="s">
        <v>43</v>
      </c>
      <c r="I9" t="s">
        <v>44</v>
      </c>
      <c r="J9" t="s">
        <v>38</v>
      </c>
      <c r="K9">
        <v>1</v>
      </c>
    </row>
    <row r="10" spans="1:11" x14ac:dyDescent="0.4">
      <c r="A10" t="s">
        <v>31</v>
      </c>
      <c r="B10" t="s">
        <v>32</v>
      </c>
      <c r="C10" t="s">
        <v>11</v>
      </c>
      <c r="D10" t="s">
        <v>33</v>
      </c>
      <c r="E10" t="s">
        <v>34</v>
      </c>
      <c r="F10" t="s">
        <v>35</v>
      </c>
      <c r="G10" t="b">
        <v>0</v>
      </c>
      <c r="H10" t="s">
        <v>36</v>
      </c>
      <c r="I10" t="s">
        <v>37</v>
      </c>
      <c r="J10" t="s">
        <v>31</v>
      </c>
      <c r="K10">
        <v>1</v>
      </c>
    </row>
    <row r="11" spans="1:11" x14ac:dyDescent="0.4">
      <c r="A11" t="s">
        <v>159</v>
      </c>
      <c r="B11" t="s">
        <v>160</v>
      </c>
      <c r="C11" t="s">
        <v>79</v>
      </c>
      <c r="D11" t="s">
        <v>161</v>
      </c>
      <c r="E11" t="s">
        <v>162</v>
      </c>
      <c r="F11" t="s">
        <v>163</v>
      </c>
      <c r="G11" t="b">
        <v>0</v>
      </c>
      <c r="H11" t="s">
        <v>164</v>
      </c>
      <c r="I11" t="s">
        <v>165</v>
      </c>
      <c r="J11" t="s">
        <v>159</v>
      </c>
      <c r="K11">
        <v>1.5</v>
      </c>
    </row>
    <row r="12" spans="1:11" x14ac:dyDescent="0.4">
      <c r="A12" t="s">
        <v>212</v>
      </c>
      <c r="B12" t="s">
        <v>213</v>
      </c>
      <c r="C12" t="s">
        <v>11</v>
      </c>
      <c r="D12" t="s">
        <v>214</v>
      </c>
      <c r="E12" t="s">
        <v>215</v>
      </c>
      <c r="F12" t="s">
        <v>216</v>
      </c>
      <c r="G12" t="b">
        <v>0</v>
      </c>
      <c r="H12" t="s">
        <v>217</v>
      </c>
      <c r="I12" t="s">
        <v>218</v>
      </c>
      <c r="J12" t="s">
        <v>212</v>
      </c>
      <c r="K12">
        <v>1</v>
      </c>
    </row>
    <row r="13" spans="1:11" x14ac:dyDescent="0.4">
      <c r="A13" t="s">
        <v>219</v>
      </c>
      <c r="B13" t="s">
        <v>220</v>
      </c>
      <c r="C13" t="s">
        <v>79</v>
      </c>
      <c r="D13" t="s">
        <v>221</v>
      </c>
      <c r="E13" t="s">
        <v>222</v>
      </c>
      <c r="F13" t="s">
        <v>223</v>
      </c>
      <c r="G13" t="b">
        <v>0</v>
      </c>
      <c r="H13" t="s">
        <v>224</v>
      </c>
      <c r="I13" t="s">
        <v>225</v>
      </c>
      <c r="J13" t="s">
        <v>219</v>
      </c>
      <c r="K13">
        <v>1</v>
      </c>
    </row>
    <row r="14" spans="1:11" x14ac:dyDescent="0.4">
      <c r="A14" t="s">
        <v>226</v>
      </c>
      <c r="B14" t="s">
        <v>227</v>
      </c>
      <c r="C14" t="s">
        <v>11</v>
      </c>
      <c r="D14" t="s">
        <v>228</v>
      </c>
      <c r="E14" t="s">
        <v>229</v>
      </c>
      <c r="F14" t="s">
        <v>223</v>
      </c>
      <c r="G14" t="b">
        <v>0</v>
      </c>
      <c r="H14" t="s">
        <v>230</v>
      </c>
      <c r="I14" t="s">
        <v>231</v>
      </c>
      <c r="J14" t="s">
        <v>226</v>
      </c>
    </row>
    <row r="15" spans="1:11" x14ac:dyDescent="0.4">
      <c r="A15" t="s">
        <v>199</v>
      </c>
      <c r="B15" t="s">
        <v>200</v>
      </c>
      <c r="C15" t="s">
        <v>11</v>
      </c>
      <c r="D15" t="s">
        <v>201</v>
      </c>
      <c r="E15" t="s">
        <v>202</v>
      </c>
      <c r="F15" t="s">
        <v>203</v>
      </c>
      <c r="G15" t="b">
        <v>0</v>
      </c>
      <c r="H15" t="s">
        <v>204</v>
      </c>
      <c r="I15" t="s">
        <v>205</v>
      </c>
      <c r="J15" t="s">
        <v>199</v>
      </c>
    </row>
    <row r="16" spans="1:11" x14ac:dyDescent="0.4">
      <c r="A16" t="s">
        <v>238</v>
      </c>
      <c r="B16" t="s">
        <v>239</v>
      </c>
      <c r="C16" t="s">
        <v>11</v>
      </c>
      <c r="D16" t="s">
        <v>240</v>
      </c>
      <c r="E16" t="s">
        <v>241</v>
      </c>
      <c r="F16" t="s">
        <v>242</v>
      </c>
      <c r="G16" t="b">
        <v>1</v>
      </c>
      <c r="H16" t="s">
        <v>243</v>
      </c>
      <c r="I16" t="s">
        <v>244</v>
      </c>
      <c r="J16" t="s">
        <v>238</v>
      </c>
      <c r="K16">
        <v>1</v>
      </c>
    </row>
    <row r="17" spans="1:11" x14ac:dyDescent="0.4">
      <c r="A17" t="s">
        <v>232</v>
      </c>
      <c r="B17" t="s">
        <v>233</v>
      </c>
      <c r="C17" t="s">
        <v>11</v>
      </c>
      <c r="D17" t="s">
        <v>234</v>
      </c>
      <c r="E17" t="s">
        <v>235</v>
      </c>
      <c r="F17" t="s">
        <v>216</v>
      </c>
      <c r="G17" t="b">
        <v>1</v>
      </c>
      <c r="H17" t="s">
        <v>236</v>
      </c>
      <c r="I17" t="s">
        <v>237</v>
      </c>
      <c r="J17" t="s">
        <v>232</v>
      </c>
    </row>
    <row r="18" spans="1:11" x14ac:dyDescent="0.4">
      <c r="A18" t="s">
        <v>45</v>
      </c>
      <c r="B18" t="s">
        <v>46</v>
      </c>
      <c r="C18" t="s">
        <v>11</v>
      </c>
      <c r="D18" t="s">
        <v>47</v>
      </c>
      <c r="E18" t="s">
        <v>48</v>
      </c>
      <c r="F18" t="s">
        <v>49</v>
      </c>
      <c r="G18" t="b">
        <v>0</v>
      </c>
      <c r="H18" t="s">
        <v>50</v>
      </c>
      <c r="I18" t="s">
        <v>51</v>
      </c>
      <c r="J18" t="s">
        <v>45</v>
      </c>
    </row>
    <row r="19" spans="1:11" x14ac:dyDescent="0.4">
      <c r="A19" t="s">
        <v>52</v>
      </c>
      <c r="B19" t="s">
        <v>53</v>
      </c>
      <c r="C19" t="s">
        <v>11</v>
      </c>
      <c r="D19" t="s">
        <v>54</v>
      </c>
      <c r="E19" t="s">
        <v>55</v>
      </c>
      <c r="F19" t="s">
        <v>49</v>
      </c>
      <c r="G19" t="b">
        <v>0</v>
      </c>
      <c r="H19" t="s">
        <v>56</v>
      </c>
      <c r="I19" t="s">
        <v>57</v>
      </c>
      <c r="J19" t="s">
        <v>52</v>
      </c>
    </row>
    <row r="20" spans="1:11" x14ac:dyDescent="0.4">
      <c r="A20" t="s">
        <v>71</v>
      </c>
      <c r="B20" t="s">
        <v>72</v>
      </c>
      <c r="C20" t="s">
        <v>11</v>
      </c>
      <c r="D20" t="s">
        <v>73</v>
      </c>
      <c r="E20" t="s">
        <v>74</v>
      </c>
      <c r="F20" t="s">
        <v>49</v>
      </c>
      <c r="G20" t="b">
        <v>0</v>
      </c>
      <c r="H20" t="s">
        <v>75</v>
      </c>
      <c r="I20" t="s">
        <v>76</v>
      </c>
      <c r="J20" t="s">
        <v>71</v>
      </c>
      <c r="K20">
        <v>1.5</v>
      </c>
    </row>
    <row r="21" spans="1:11" x14ac:dyDescent="0.4">
      <c r="A21" t="s">
        <v>18</v>
      </c>
      <c r="B21" t="s">
        <v>19</v>
      </c>
      <c r="C21" t="s">
        <v>11</v>
      </c>
      <c r="D21" t="s">
        <v>20</v>
      </c>
      <c r="E21" t="s">
        <v>21</v>
      </c>
      <c r="F21" t="s">
        <v>22</v>
      </c>
      <c r="G21" t="b">
        <v>0</v>
      </c>
      <c r="H21" t="s">
        <v>23</v>
      </c>
      <c r="I21" t="s">
        <v>24</v>
      </c>
      <c r="J21" t="s">
        <v>18</v>
      </c>
    </row>
    <row r="22" spans="1:11" x14ac:dyDescent="0.4">
      <c r="A22" t="s">
        <v>652</v>
      </c>
      <c r="B22" t="s">
        <v>26</v>
      </c>
      <c r="C22" t="s">
        <v>11</v>
      </c>
      <c r="D22" t="s">
        <v>27</v>
      </c>
      <c r="E22" t="s">
        <v>28</v>
      </c>
      <c r="F22" t="s">
        <v>22</v>
      </c>
      <c r="G22" t="b">
        <v>0</v>
      </c>
      <c r="H22" t="s">
        <v>29</v>
      </c>
      <c r="I22" t="s">
        <v>30</v>
      </c>
      <c r="J22" t="s">
        <v>652</v>
      </c>
    </row>
    <row r="23" spans="1:11" x14ac:dyDescent="0.4">
      <c r="A23" t="s">
        <v>9</v>
      </c>
      <c r="B23" t="s">
        <v>10</v>
      </c>
      <c r="C23" t="s">
        <v>11</v>
      </c>
      <c r="D23" t="s">
        <v>12</v>
      </c>
      <c r="E23" t="s">
        <v>13</v>
      </c>
      <c r="F23" t="s">
        <v>14</v>
      </c>
      <c r="G23" t="b">
        <v>0</v>
      </c>
      <c r="H23" t="s">
        <v>16</v>
      </c>
      <c r="I23" t="s">
        <v>17</v>
      </c>
      <c r="J23" t="s">
        <v>9</v>
      </c>
    </row>
    <row r="24" spans="1:11" x14ac:dyDescent="0.4">
      <c r="A24" t="s">
        <v>77</v>
      </c>
      <c r="B24" t="s">
        <v>78</v>
      </c>
      <c r="C24" t="s">
        <v>79</v>
      </c>
      <c r="D24" t="s">
        <v>80</v>
      </c>
      <c r="E24" t="s">
        <v>81</v>
      </c>
      <c r="F24" t="s">
        <v>49</v>
      </c>
      <c r="G24" t="b">
        <v>0</v>
      </c>
      <c r="H24" t="s">
        <v>82</v>
      </c>
      <c r="I24" t="s">
        <v>83</v>
      </c>
      <c r="J24" t="s">
        <v>77</v>
      </c>
    </row>
    <row r="25" spans="1:11" x14ac:dyDescent="0.4">
      <c r="A25" t="s">
        <v>252</v>
      </c>
      <c r="B25" t="s">
        <v>253</v>
      </c>
      <c r="C25" t="s">
        <v>11</v>
      </c>
      <c r="D25" t="s">
        <v>254</v>
      </c>
      <c r="E25" t="s">
        <v>255</v>
      </c>
      <c r="F25" t="s">
        <v>49</v>
      </c>
      <c r="G25" t="b">
        <v>0</v>
      </c>
      <c r="H25" t="s">
        <v>256</v>
      </c>
      <c r="I25" t="s">
        <v>257</v>
      </c>
      <c r="J25" t="s">
        <v>252</v>
      </c>
    </row>
    <row r="26" spans="1:11" x14ac:dyDescent="0.4">
      <c r="A26" t="s">
        <v>275</v>
      </c>
      <c r="B26" t="s">
        <v>276</v>
      </c>
      <c r="C26" t="s">
        <v>11</v>
      </c>
      <c r="D26" t="s">
        <v>277</v>
      </c>
      <c r="E26" t="s">
        <v>278</v>
      </c>
      <c r="F26" t="s">
        <v>49</v>
      </c>
      <c r="G26" t="b">
        <v>0</v>
      </c>
      <c r="H26" t="s">
        <v>279</v>
      </c>
      <c r="I26" t="s">
        <v>280</v>
      </c>
      <c r="J26" t="s">
        <v>275</v>
      </c>
      <c r="K26">
        <v>1</v>
      </c>
    </row>
    <row r="27" spans="1:11" x14ac:dyDescent="0.4">
      <c r="A27" t="s">
        <v>245</v>
      </c>
      <c r="B27" t="s">
        <v>246</v>
      </c>
      <c r="C27" t="s">
        <v>11</v>
      </c>
      <c r="D27" t="s">
        <v>247</v>
      </c>
      <c r="E27" t="s">
        <v>248</v>
      </c>
      <c r="F27" t="s">
        <v>249</v>
      </c>
      <c r="G27" t="b">
        <v>0</v>
      </c>
      <c r="H27" t="s">
        <v>250</v>
      </c>
      <c r="I27" t="s">
        <v>251</v>
      </c>
      <c r="J27" t="s">
        <v>245</v>
      </c>
    </row>
    <row r="28" spans="1:11" x14ac:dyDescent="0.4">
      <c r="A28" t="s">
        <v>258</v>
      </c>
      <c r="B28" t="s">
        <v>259</v>
      </c>
      <c r="C28" t="s">
        <v>11</v>
      </c>
      <c r="D28" t="s">
        <v>260</v>
      </c>
      <c r="E28" t="s">
        <v>261</v>
      </c>
      <c r="F28" t="s">
        <v>262</v>
      </c>
      <c r="G28" t="b">
        <v>0</v>
      </c>
      <c r="H28" t="s">
        <v>263</v>
      </c>
      <c r="I28" t="s">
        <v>264</v>
      </c>
      <c r="J28" t="s">
        <v>258</v>
      </c>
    </row>
    <row r="29" spans="1:11" x14ac:dyDescent="0.4">
      <c r="A29" t="s">
        <v>572</v>
      </c>
      <c r="B29" t="s">
        <v>573</v>
      </c>
      <c r="C29" t="s">
        <v>486</v>
      </c>
      <c r="D29" t="s">
        <v>574</v>
      </c>
      <c r="E29" t="s">
        <v>575</v>
      </c>
      <c r="F29" t="s">
        <v>489</v>
      </c>
      <c r="G29" t="b">
        <v>0</v>
      </c>
      <c r="H29" t="s">
        <v>576</v>
      </c>
      <c r="I29" t="s">
        <v>577</v>
      </c>
      <c r="J29" t="s">
        <v>572</v>
      </c>
    </row>
    <row r="30" spans="1:11" x14ac:dyDescent="0.4">
      <c r="A30" t="s">
        <v>578</v>
      </c>
      <c r="B30" t="s">
        <v>579</v>
      </c>
      <c r="C30" t="s">
        <v>486</v>
      </c>
      <c r="D30" t="s">
        <v>580</v>
      </c>
      <c r="E30" t="s">
        <v>581</v>
      </c>
      <c r="F30" t="s">
        <v>489</v>
      </c>
      <c r="G30" t="b">
        <v>0</v>
      </c>
      <c r="H30" t="s">
        <v>582</v>
      </c>
      <c r="I30" t="s">
        <v>583</v>
      </c>
      <c r="J30" t="s">
        <v>578</v>
      </c>
    </row>
    <row r="31" spans="1:11" x14ac:dyDescent="0.4">
      <c r="A31" t="s">
        <v>484</v>
      </c>
      <c r="B31" t="s">
        <v>485</v>
      </c>
      <c r="C31" t="s">
        <v>486</v>
      </c>
      <c r="D31" t="s">
        <v>487</v>
      </c>
      <c r="E31" t="s">
        <v>488</v>
      </c>
      <c r="F31" t="s">
        <v>489</v>
      </c>
      <c r="G31" t="b">
        <v>0</v>
      </c>
      <c r="H31" t="s">
        <v>490</v>
      </c>
      <c r="I31" t="s">
        <v>491</v>
      </c>
      <c r="J31" t="s">
        <v>484</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BC4A8-48D3-46BB-ACAE-3103488AF08C}">
  <dimension ref="A1:K27"/>
  <sheetViews>
    <sheetView topLeftCell="F1" workbookViewId="0">
      <pane ySplit="1" topLeftCell="A6" activePane="bottomLeft" state="frozen"/>
      <selection pane="bottomLeft" activeCell="L1" sqref="L1:L1048576"/>
    </sheetView>
  </sheetViews>
  <sheetFormatPr baseColWidth="10" defaultRowHeight="14.6" x14ac:dyDescent="0.4"/>
  <cols>
    <col min="1" max="1" width="25.4609375" bestFit="1" customWidth="1"/>
    <col min="2" max="2" width="16.84375" bestFit="1" customWidth="1"/>
    <col min="3" max="3" width="4.4609375" bestFit="1" customWidth="1"/>
    <col min="4" max="4" width="234.3046875" bestFit="1" customWidth="1"/>
    <col min="5" max="5" width="130.921875" bestFit="1" customWidth="1"/>
    <col min="6" max="6" width="19.23046875" bestFit="1" customWidth="1"/>
    <col min="7" max="7" width="7.765625" bestFit="1" customWidth="1"/>
    <col min="8" max="8" width="20.84375" bestFit="1" customWidth="1"/>
    <col min="9" max="9" width="18.4609375" bestFit="1" customWidth="1"/>
    <col min="10" max="10" width="25.4609375" bestFit="1" customWidth="1"/>
    <col min="11" max="11" width="25.4609375" customWidth="1"/>
  </cols>
  <sheetData>
    <row r="1" spans="1:11" x14ac:dyDescent="0.4">
      <c r="A1" s="13" t="s">
        <v>0</v>
      </c>
      <c r="B1" s="13" t="s">
        <v>1</v>
      </c>
      <c r="C1" s="13" t="s">
        <v>2</v>
      </c>
      <c r="D1" s="13" t="s">
        <v>3</v>
      </c>
      <c r="E1" s="13" t="s">
        <v>4</v>
      </c>
      <c r="F1" s="13" t="s">
        <v>5</v>
      </c>
      <c r="G1" s="13" t="s">
        <v>6</v>
      </c>
      <c r="H1" s="13" t="s">
        <v>7</v>
      </c>
      <c r="I1" s="13" t="s">
        <v>8</v>
      </c>
      <c r="J1" s="13" t="s">
        <v>0</v>
      </c>
      <c r="K1" s="13" t="s">
        <v>645</v>
      </c>
    </row>
    <row r="2" spans="1:11" x14ac:dyDescent="0.4">
      <c r="A2" t="s">
        <v>441</v>
      </c>
      <c r="B2" t="s">
        <v>442</v>
      </c>
      <c r="C2" t="s">
        <v>11</v>
      </c>
      <c r="D2" t="s">
        <v>443</v>
      </c>
      <c r="E2" t="s">
        <v>444</v>
      </c>
      <c r="F2" t="s">
        <v>88</v>
      </c>
      <c r="G2" t="b">
        <v>1</v>
      </c>
      <c r="H2" t="s">
        <v>445</v>
      </c>
      <c r="I2" t="s">
        <v>446</v>
      </c>
      <c r="J2" t="s">
        <v>441</v>
      </c>
      <c r="K2">
        <v>1</v>
      </c>
    </row>
    <row r="3" spans="1:11" x14ac:dyDescent="0.4">
      <c r="A3" t="s">
        <v>52</v>
      </c>
      <c r="B3" t="s">
        <v>53</v>
      </c>
      <c r="C3" t="s">
        <v>11</v>
      </c>
      <c r="D3" t="s">
        <v>54</v>
      </c>
      <c r="E3" t="s">
        <v>55</v>
      </c>
      <c r="F3" t="s">
        <v>49</v>
      </c>
      <c r="G3" t="b">
        <v>0</v>
      </c>
      <c r="H3" t="s">
        <v>56</v>
      </c>
      <c r="I3" t="s">
        <v>57</v>
      </c>
      <c r="J3" t="s">
        <v>52</v>
      </c>
    </row>
    <row r="4" spans="1:11" x14ac:dyDescent="0.4">
      <c r="A4" t="s">
        <v>45</v>
      </c>
      <c r="B4" t="s">
        <v>46</v>
      </c>
      <c r="C4" t="s">
        <v>11</v>
      </c>
      <c r="D4" t="s">
        <v>47</v>
      </c>
      <c r="E4" t="s">
        <v>48</v>
      </c>
      <c r="F4" t="s">
        <v>49</v>
      </c>
      <c r="G4" t="b">
        <v>0</v>
      </c>
      <c r="H4" t="s">
        <v>50</v>
      </c>
      <c r="I4" t="s">
        <v>51</v>
      </c>
      <c r="J4" t="s">
        <v>45</v>
      </c>
    </row>
    <row r="5" spans="1:11" x14ac:dyDescent="0.4">
      <c r="A5" t="s">
        <v>71</v>
      </c>
      <c r="B5" t="s">
        <v>72</v>
      </c>
      <c r="C5" t="s">
        <v>11</v>
      </c>
      <c r="D5" t="s">
        <v>73</v>
      </c>
      <c r="E5" t="s">
        <v>74</v>
      </c>
      <c r="F5" t="s">
        <v>49</v>
      </c>
      <c r="G5" t="b">
        <v>0</v>
      </c>
      <c r="H5" t="s">
        <v>75</v>
      </c>
      <c r="I5" t="s">
        <v>76</v>
      </c>
      <c r="J5" t="s">
        <v>71</v>
      </c>
      <c r="K5">
        <v>1</v>
      </c>
    </row>
    <row r="6" spans="1:11" x14ac:dyDescent="0.4">
      <c r="A6" t="s">
        <v>18</v>
      </c>
      <c r="B6" t="s">
        <v>19</v>
      </c>
      <c r="C6" t="s">
        <v>11</v>
      </c>
      <c r="D6" t="s">
        <v>20</v>
      </c>
      <c r="E6" t="s">
        <v>21</v>
      </c>
      <c r="F6" t="s">
        <v>22</v>
      </c>
      <c r="G6" t="b">
        <v>0</v>
      </c>
      <c r="H6" t="s">
        <v>23</v>
      </c>
      <c r="I6" t="s">
        <v>24</v>
      </c>
      <c r="J6" t="s">
        <v>18</v>
      </c>
    </row>
    <row r="7" spans="1:11" x14ac:dyDescent="0.4">
      <c r="A7" t="s">
        <v>652</v>
      </c>
      <c r="B7" t="s">
        <v>26</v>
      </c>
      <c r="C7" t="s">
        <v>11</v>
      </c>
      <c r="D7" t="s">
        <v>27</v>
      </c>
      <c r="E7" t="s">
        <v>28</v>
      </c>
      <c r="F7" t="s">
        <v>22</v>
      </c>
      <c r="G7" t="b">
        <v>0</v>
      </c>
      <c r="H7" t="s">
        <v>29</v>
      </c>
      <c r="I7" t="s">
        <v>30</v>
      </c>
      <c r="J7" t="s">
        <v>652</v>
      </c>
      <c r="K7">
        <v>1</v>
      </c>
    </row>
    <row r="8" spans="1:11" x14ac:dyDescent="0.4">
      <c r="A8" t="s">
        <v>9</v>
      </c>
      <c r="B8" t="s">
        <v>10</v>
      </c>
      <c r="C8" t="s">
        <v>11</v>
      </c>
      <c r="D8" t="s">
        <v>12</v>
      </c>
      <c r="E8" t="s">
        <v>13</v>
      </c>
      <c r="F8" t="s">
        <v>14</v>
      </c>
      <c r="G8" t="b">
        <v>0</v>
      </c>
      <c r="H8" t="s">
        <v>16</v>
      </c>
      <c r="I8" t="s">
        <v>17</v>
      </c>
      <c r="J8" t="s">
        <v>9</v>
      </c>
      <c r="K8">
        <v>1</v>
      </c>
    </row>
    <row r="9" spans="1:11" x14ac:dyDescent="0.4">
      <c r="A9" t="s">
        <v>663</v>
      </c>
      <c r="B9" t="s">
        <v>664</v>
      </c>
      <c r="C9" t="s">
        <v>663</v>
      </c>
      <c r="D9" t="s">
        <v>669</v>
      </c>
      <c r="E9" t="s">
        <v>670</v>
      </c>
      <c r="F9" t="s">
        <v>14</v>
      </c>
      <c r="G9" t="b">
        <v>0</v>
      </c>
      <c r="H9" t="s">
        <v>667</v>
      </c>
      <c r="I9" t="s">
        <v>668</v>
      </c>
      <c r="J9" t="s">
        <v>663</v>
      </c>
      <c r="K9" s="12">
        <v>2</v>
      </c>
    </row>
    <row r="10" spans="1:11" x14ac:dyDescent="0.4">
      <c r="A10" t="s">
        <v>77</v>
      </c>
      <c r="B10" t="s">
        <v>78</v>
      </c>
      <c r="C10" t="s">
        <v>79</v>
      </c>
      <c r="D10" t="s">
        <v>80</v>
      </c>
      <c r="E10" t="s">
        <v>81</v>
      </c>
      <c r="F10" t="s">
        <v>49</v>
      </c>
      <c r="G10" t="b">
        <v>0</v>
      </c>
      <c r="H10" t="s">
        <v>82</v>
      </c>
      <c r="I10" t="s">
        <v>83</v>
      </c>
      <c r="J10" t="s">
        <v>77</v>
      </c>
    </row>
    <row r="11" spans="1:11" x14ac:dyDescent="0.4">
      <c r="A11" t="s">
        <v>84</v>
      </c>
      <c r="B11" t="s">
        <v>85</v>
      </c>
      <c r="C11" t="s">
        <v>11</v>
      </c>
      <c r="D11" t="s">
        <v>86</v>
      </c>
      <c r="E11" t="s">
        <v>87</v>
      </c>
      <c r="F11" t="s">
        <v>88</v>
      </c>
      <c r="G11" t="b">
        <v>1</v>
      </c>
      <c r="H11" t="s">
        <v>90</v>
      </c>
      <c r="I11" t="s">
        <v>91</v>
      </c>
      <c r="J11" t="s">
        <v>84</v>
      </c>
      <c r="K11">
        <v>1</v>
      </c>
    </row>
    <row r="12" spans="1:11" x14ac:dyDescent="0.4">
      <c r="A12" t="s">
        <v>58</v>
      </c>
      <c r="B12" t="s">
        <v>59</v>
      </c>
      <c r="C12" t="s">
        <v>11</v>
      </c>
      <c r="D12" t="s">
        <v>60</v>
      </c>
      <c r="E12" t="s">
        <v>61</v>
      </c>
      <c r="F12" t="s">
        <v>62</v>
      </c>
      <c r="G12" t="b">
        <v>0</v>
      </c>
      <c r="H12" t="s">
        <v>63</v>
      </c>
      <c r="I12" t="s">
        <v>64</v>
      </c>
      <c r="J12" t="s">
        <v>58</v>
      </c>
    </row>
    <row r="13" spans="1:11" x14ac:dyDescent="0.4">
      <c r="A13" t="s">
        <v>252</v>
      </c>
      <c r="B13" t="s">
        <v>253</v>
      </c>
      <c r="C13" t="s">
        <v>11</v>
      </c>
      <c r="D13" t="s">
        <v>254</v>
      </c>
      <c r="E13" t="s">
        <v>255</v>
      </c>
      <c r="F13" t="s">
        <v>49</v>
      </c>
      <c r="G13" t="b">
        <v>0</v>
      </c>
      <c r="H13" t="s">
        <v>256</v>
      </c>
      <c r="I13" t="s">
        <v>257</v>
      </c>
      <c r="J13" t="s">
        <v>252</v>
      </c>
    </row>
    <row r="14" spans="1:11" x14ac:dyDescent="0.4">
      <c r="A14" t="s">
        <v>275</v>
      </c>
      <c r="B14" t="s">
        <v>276</v>
      </c>
      <c r="C14" t="s">
        <v>11</v>
      </c>
      <c r="D14" t="s">
        <v>277</v>
      </c>
      <c r="E14" t="s">
        <v>278</v>
      </c>
      <c r="F14" t="s">
        <v>49</v>
      </c>
      <c r="G14" t="b">
        <v>0</v>
      </c>
      <c r="H14" t="s">
        <v>279</v>
      </c>
      <c r="I14" t="s">
        <v>280</v>
      </c>
      <c r="J14" t="s">
        <v>275</v>
      </c>
      <c r="K14">
        <v>1</v>
      </c>
    </row>
    <row r="15" spans="1:11" x14ac:dyDescent="0.4">
      <c r="A15" t="s">
        <v>212</v>
      </c>
      <c r="B15" t="s">
        <v>213</v>
      </c>
      <c r="C15" t="s">
        <v>11</v>
      </c>
      <c r="D15" t="s">
        <v>214</v>
      </c>
      <c r="E15" t="s">
        <v>215</v>
      </c>
      <c r="F15" t="s">
        <v>216</v>
      </c>
      <c r="G15" t="b">
        <v>0</v>
      </c>
      <c r="H15" t="s">
        <v>217</v>
      </c>
      <c r="I15" t="s">
        <v>218</v>
      </c>
      <c r="J15" t="s">
        <v>212</v>
      </c>
      <c r="K15">
        <v>1</v>
      </c>
    </row>
    <row r="16" spans="1:11" x14ac:dyDescent="0.4">
      <c r="A16" t="s">
        <v>219</v>
      </c>
      <c r="B16" t="s">
        <v>220</v>
      </c>
      <c r="C16" t="s">
        <v>79</v>
      </c>
      <c r="D16" t="s">
        <v>221</v>
      </c>
      <c r="E16" t="s">
        <v>222</v>
      </c>
      <c r="F16" t="s">
        <v>223</v>
      </c>
      <c r="G16" t="b">
        <v>0</v>
      </c>
      <c r="H16" t="s">
        <v>224</v>
      </c>
      <c r="I16" t="s">
        <v>225</v>
      </c>
      <c r="J16" t="s">
        <v>219</v>
      </c>
    </row>
    <row r="17" spans="1:11" x14ac:dyDescent="0.4">
      <c r="A17" t="s">
        <v>238</v>
      </c>
      <c r="B17" t="s">
        <v>239</v>
      </c>
      <c r="C17" t="s">
        <v>11</v>
      </c>
      <c r="D17" t="s">
        <v>240</v>
      </c>
      <c r="E17" t="s">
        <v>241</v>
      </c>
      <c r="F17" t="s">
        <v>242</v>
      </c>
      <c r="G17" t="b">
        <v>1</v>
      </c>
      <c r="H17" t="s">
        <v>243</v>
      </c>
      <c r="I17" t="s">
        <v>244</v>
      </c>
      <c r="J17" t="s">
        <v>238</v>
      </c>
    </row>
    <row r="18" spans="1:11" x14ac:dyDescent="0.4">
      <c r="A18" t="s">
        <v>232</v>
      </c>
      <c r="B18" t="s">
        <v>233</v>
      </c>
      <c r="C18" t="s">
        <v>11</v>
      </c>
      <c r="D18" t="s">
        <v>234</v>
      </c>
      <c r="E18" t="s">
        <v>235</v>
      </c>
      <c r="F18" t="s">
        <v>216</v>
      </c>
      <c r="G18" t="b">
        <v>1</v>
      </c>
      <c r="H18" t="s">
        <v>236</v>
      </c>
      <c r="I18" t="s">
        <v>237</v>
      </c>
      <c r="J18" t="s">
        <v>232</v>
      </c>
    </row>
    <row r="19" spans="1:11" x14ac:dyDescent="0.4">
      <c r="A19" t="s">
        <v>92</v>
      </c>
      <c r="B19" t="s">
        <v>93</v>
      </c>
      <c r="C19" t="s">
        <v>11</v>
      </c>
      <c r="D19" t="s">
        <v>94</v>
      </c>
      <c r="E19" t="s">
        <v>95</v>
      </c>
      <c r="F19" t="s">
        <v>96</v>
      </c>
      <c r="G19" t="b">
        <v>0</v>
      </c>
      <c r="H19" t="s">
        <v>97</v>
      </c>
      <c r="I19" t="s">
        <v>98</v>
      </c>
      <c r="J19" t="s">
        <v>92</v>
      </c>
    </row>
    <row r="20" spans="1:11" x14ac:dyDescent="0.4">
      <c r="A20" t="s">
        <v>113</v>
      </c>
      <c r="B20" t="s">
        <v>114</v>
      </c>
      <c r="C20" t="s">
        <v>11</v>
      </c>
      <c r="D20" t="s">
        <v>115</v>
      </c>
      <c r="E20" t="s">
        <v>116</v>
      </c>
      <c r="F20" t="s">
        <v>96</v>
      </c>
      <c r="G20" t="b">
        <v>0</v>
      </c>
      <c r="H20" t="s">
        <v>117</v>
      </c>
      <c r="I20" t="s">
        <v>118</v>
      </c>
      <c r="J20" t="s">
        <v>113</v>
      </c>
    </row>
    <row r="21" spans="1:11" x14ac:dyDescent="0.4">
      <c r="A21" t="s">
        <v>31</v>
      </c>
      <c r="B21" t="s">
        <v>32</v>
      </c>
      <c r="C21" t="s">
        <v>11</v>
      </c>
      <c r="D21" t="s">
        <v>33</v>
      </c>
      <c r="E21" t="s">
        <v>34</v>
      </c>
      <c r="F21" t="s">
        <v>35</v>
      </c>
      <c r="G21" t="b">
        <v>0</v>
      </c>
      <c r="H21" t="s">
        <v>36</v>
      </c>
      <c r="I21" t="s">
        <v>37</v>
      </c>
      <c r="J21" t="s">
        <v>31</v>
      </c>
      <c r="K21">
        <v>2</v>
      </c>
    </row>
    <row r="22" spans="1:11" x14ac:dyDescent="0.4">
      <c r="A22" t="s">
        <v>38</v>
      </c>
      <c r="B22" t="s">
        <v>39</v>
      </c>
      <c r="C22" t="s">
        <v>11</v>
      </c>
      <c r="D22" t="s">
        <v>40</v>
      </c>
      <c r="E22" t="s">
        <v>41</v>
      </c>
      <c r="F22" t="s">
        <v>42</v>
      </c>
      <c r="G22" t="b">
        <v>0</v>
      </c>
      <c r="H22" t="s">
        <v>43</v>
      </c>
      <c r="I22" t="s">
        <v>44</v>
      </c>
      <c r="J22" t="s">
        <v>38</v>
      </c>
    </row>
    <row r="23" spans="1:11" x14ac:dyDescent="0.4">
      <c r="A23" t="s">
        <v>106</v>
      </c>
      <c r="B23" t="s">
        <v>107</v>
      </c>
      <c r="C23" t="s">
        <v>11</v>
      </c>
      <c r="D23" t="s">
        <v>108</v>
      </c>
      <c r="E23" t="s">
        <v>109</v>
      </c>
      <c r="F23" t="s">
        <v>110</v>
      </c>
      <c r="G23" t="b">
        <v>0</v>
      </c>
      <c r="H23" t="s">
        <v>111</v>
      </c>
      <c r="I23" t="s">
        <v>112</v>
      </c>
      <c r="J23" t="s">
        <v>106</v>
      </c>
      <c r="K23">
        <v>1</v>
      </c>
    </row>
    <row r="24" spans="1:11" x14ac:dyDescent="0.4">
      <c r="A24" t="s">
        <v>245</v>
      </c>
      <c r="B24" t="s">
        <v>246</v>
      </c>
      <c r="C24" t="s">
        <v>11</v>
      </c>
      <c r="D24" t="s">
        <v>247</v>
      </c>
      <c r="E24" t="s">
        <v>248</v>
      </c>
      <c r="F24" t="s">
        <v>249</v>
      </c>
      <c r="G24" t="b">
        <v>0</v>
      </c>
      <c r="H24" t="s">
        <v>250</v>
      </c>
      <c r="I24" t="s">
        <v>251</v>
      </c>
      <c r="J24" t="s">
        <v>245</v>
      </c>
    </row>
    <row r="25" spans="1:11" x14ac:dyDescent="0.4">
      <c r="A25" t="s">
        <v>572</v>
      </c>
      <c r="B25" t="s">
        <v>573</v>
      </c>
      <c r="C25" t="s">
        <v>486</v>
      </c>
      <c r="D25" t="s">
        <v>574</v>
      </c>
      <c r="E25" t="s">
        <v>575</v>
      </c>
      <c r="F25" t="s">
        <v>489</v>
      </c>
      <c r="G25" t="b">
        <v>0</v>
      </c>
      <c r="H25" t="s">
        <v>576</v>
      </c>
      <c r="I25" t="s">
        <v>577</v>
      </c>
      <c r="J25" t="s">
        <v>572</v>
      </c>
    </row>
    <row r="26" spans="1:11" x14ac:dyDescent="0.4">
      <c r="A26" t="s">
        <v>578</v>
      </c>
      <c r="B26" t="s">
        <v>579</v>
      </c>
      <c r="C26" t="s">
        <v>486</v>
      </c>
      <c r="D26" t="s">
        <v>580</v>
      </c>
      <c r="E26" t="s">
        <v>581</v>
      </c>
      <c r="F26" t="s">
        <v>489</v>
      </c>
      <c r="G26" t="b">
        <v>0</v>
      </c>
      <c r="H26" t="s">
        <v>582</v>
      </c>
      <c r="I26" t="s">
        <v>583</v>
      </c>
      <c r="J26" t="s">
        <v>578</v>
      </c>
    </row>
    <row r="27" spans="1:11" x14ac:dyDescent="0.4">
      <c r="A27" t="s">
        <v>484</v>
      </c>
      <c r="B27" t="s">
        <v>485</v>
      </c>
      <c r="C27" t="s">
        <v>486</v>
      </c>
      <c r="D27" t="s">
        <v>487</v>
      </c>
      <c r="E27" t="s">
        <v>488</v>
      </c>
      <c r="F27" t="s">
        <v>489</v>
      </c>
      <c r="G27" t="b">
        <v>0</v>
      </c>
      <c r="H27" t="s">
        <v>490</v>
      </c>
      <c r="I27" t="s">
        <v>491</v>
      </c>
      <c r="J27" t="s">
        <v>484</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E5124-16C8-4894-830A-3B93323789F6}">
  <dimension ref="A1:K24"/>
  <sheetViews>
    <sheetView topLeftCell="F1" workbookViewId="0">
      <pane ySplit="1" topLeftCell="A2" activePane="bottomLeft" state="frozen"/>
      <selection pane="bottomLeft" activeCell="L1" sqref="L1:L1048576"/>
    </sheetView>
  </sheetViews>
  <sheetFormatPr baseColWidth="10" defaultRowHeight="14.6" x14ac:dyDescent="0.4"/>
  <cols>
    <col min="1" max="1" width="25.4609375" bestFit="1" customWidth="1"/>
    <col min="2" max="2" width="18.4609375" bestFit="1" customWidth="1"/>
    <col min="3" max="3" width="6.765625" bestFit="1" customWidth="1"/>
    <col min="4" max="4" width="234.3046875" bestFit="1" customWidth="1"/>
    <col min="5" max="5" width="130.921875" bestFit="1" customWidth="1"/>
    <col min="6" max="6" width="19.23046875" bestFit="1" customWidth="1"/>
    <col min="7" max="7" width="7.765625" bestFit="1" customWidth="1"/>
    <col min="8" max="8" width="22.53515625" bestFit="1" customWidth="1"/>
    <col min="9" max="9" width="20.07421875" bestFit="1" customWidth="1"/>
    <col min="10" max="10" width="25.4609375" bestFit="1" customWidth="1"/>
    <col min="11" max="11" width="11" bestFit="1" customWidth="1"/>
  </cols>
  <sheetData>
    <row r="1" spans="1:11" x14ac:dyDescent="0.4">
      <c r="A1" s="13" t="s">
        <v>0</v>
      </c>
      <c r="B1" s="13" t="s">
        <v>1</v>
      </c>
      <c r="C1" s="13" t="s">
        <v>2</v>
      </c>
      <c r="D1" s="13" t="s">
        <v>3</v>
      </c>
      <c r="E1" s="13" t="s">
        <v>4</v>
      </c>
      <c r="F1" s="13" t="s">
        <v>5</v>
      </c>
      <c r="G1" s="13" t="s">
        <v>6</v>
      </c>
      <c r="H1" s="13" t="s">
        <v>7</v>
      </c>
      <c r="I1" s="13" t="s">
        <v>8</v>
      </c>
      <c r="J1" s="13" t="s">
        <v>0</v>
      </c>
      <c r="K1" s="13" t="s">
        <v>645</v>
      </c>
    </row>
    <row r="2" spans="1:11" x14ac:dyDescent="0.4">
      <c r="A2" t="s">
        <v>212</v>
      </c>
      <c r="B2" t="s">
        <v>213</v>
      </c>
      <c r="C2" t="s">
        <v>11</v>
      </c>
      <c r="D2" t="s">
        <v>214</v>
      </c>
      <c r="E2" t="s">
        <v>215</v>
      </c>
      <c r="F2" t="s">
        <v>216</v>
      </c>
      <c r="G2" t="b">
        <v>0</v>
      </c>
      <c r="H2" t="s">
        <v>217</v>
      </c>
      <c r="I2" t="s">
        <v>218</v>
      </c>
      <c r="J2" t="s">
        <v>212</v>
      </c>
      <c r="K2">
        <v>2</v>
      </c>
    </row>
    <row r="3" spans="1:11" x14ac:dyDescent="0.4">
      <c r="A3" t="s">
        <v>219</v>
      </c>
      <c r="B3" t="s">
        <v>220</v>
      </c>
      <c r="C3" t="s">
        <v>79</v>
      </c>
      <c r="D3" t="s">
        <v>221</v>
      </c>
      <c r="E3" t="s">
        <v>222</v>
      </c>
      <c r="F3" t="s">
        <v>223</v>
      </c>
      <c r="G3" t="b">
        <v>0</v>
      </c>
      <c r="H3" t="s">
        <v>224</v>
      </c>
      <c r="I3" t="s">
        <v>225</v>
      </c>
      <c r="J3" t="s">
        <v>219</v>
      </c>
      <c r="K3">
        <v>2</v>
      </c>
    </row>
    <row r="4" spans="1:11" x14ac:dyDescent="0.4">
      <c r="A4" t="s">
        <v>226</v>
      </c>
      <c r="B4" t="s">
        <v>227</v>
      </c>
      <c r="C4" t="s">
        <v>11</v>
      </c>
      <c r="D4" t="s">
        <v>228</v>
      </c>
      <c r="E4" t="s">
        <v>229</v>
      </c>
      <c r="F4" t="s">
        <v>223</v>
      </c>
      <c r="G4" t="b">
        <v>0</v>
      </c>
      <c r="H4" t="s">
        <v>230</v>
      </c>
      <c r="I4" t="s">
        <v>231</v>
      </c>
      <c r="J4" t="s">
        <v>226</v>
      </c>
    </row>
    <row r="5" spans="1:11" x14ac:dyDescent="0.4">
      <c r="A5" t="s">
        <v>232</v>
      </c>
      <c r="B5" t="s">
        <v>233</v>
      </c>
      <c r="C5" t="s">
        <v>11</v>
      </c>
      <c r="D5" t="s">
        <v>234</v>
      </c>
      <c r="E5" t="s">
        <v>235</v>
      </c>
      <c r="F5" t="s">
        <v>216</v>
      </c>
      <c r="G5" t="b">
        <v>1</v>
      </c>
      <c r="H5" t="s">
        <v>236</v>
      </c>
      <c r="I5" t="s">
        <v>237</v>
      </c>
      <c r="J5" t="s">
        <v>232</v>
      </c>
    </row>
    <row r="6" spans="1:11" x14ac:dyDescent="0.4">
      <c r="A6" t="s">
        <v>238</v>
      </c>
      <c r="B6" t="s">
        <v>239</v>
      </c>
      <c r="C6" t="s">
        <v>11</v>
      </c>
      <c r="D6" t="s">
        <v>240</v>
      </c>
      <c r="E6" t="s">
        <v>241</v>
      </c>
      <c r="F6" t="s">
        <v>242</v>
      </c>
      <c r="G6" t="b">
        <v>1</v>
      </c>
      <c r="H6" t="s">
        <v>243</v>
      </c>
      <c r="I6" t="s">
        <v>244</v>
      </c>
      <c r="J6" t="s">
        <v>238</v>
      </c>
    </row>
    <row r="7" spans="1:11" x14ac:dyDescent="0.4">
      <c r="A7" t="s">
        <v>252</v>
      </c>
      <c r="B7" t="s">
        <v>253</v>
      </c>
      <c r="C7" t="s">
        <v>11</v>
      </c>
      <c r="D7" t="s">
        <v>254</v>
      </c>
      <c r="E7" t="s">
        <v>255</v>
      </c>
      <c r="F7" t="s">
        <v>49</v>
      </c>
      <c r="G7" t="b">
        <v>0</v>
      </c>
      <c r="H7" t="s">
        <v>256</v>
      </c>
      <c r="I7" t="s">
        <v>257</v>
      </c>
      <c r="J7" t="s">
        <v>252</v>
      </c>
      <c r="K7">
        <v>1</v>
      </c>
    </row>
    <row r="8" spans="1:11" x14ac:dyDescent="0.4">
      <c r="A8" t="s">
        <v>275</v>
      </c>
      <c r="B8" t="s">
        <v>276</v>
      </c>
      <c r="C8" t="s">
        <v>11</v>
      </c>
      <c r="D8" t="s">
        <v>277</v>
      </c>
      <c r="E8" t="s">
        <v>278</v>
      </c>
      <c r="F8" t="s">
        <v>49</v>
      </c>
      <c r="G8" t="b">
        <v>0</v>
      </c>
      <c r="H8" t="s">
        <v>279</v>
      </c>
      <c r="I8" t="s">
        <v>280</v>
      </c>
      <c r="J8" t="s">
        <v>275</v>
      </c>
      <c r="K8">
        <v>1</v>
      </c>
    </row>
    <row r="9" spans="1:11" x14ac:dyDescent="0.4">
      <c r="A9" t="s">
        <v>52</v>
      </c>
      <c r="B9" t="s">
        <v>53</v>
      </c>
      <c r="C9" t="s">
        <v>11</v>
      </c>
      <c r="D9" t="s">
        <v>54</v>
      </c>
      <c r="E9" t="s">
        <v>55</v>
      </c>
      <c r="F9" t="s">
        <v>49</v>
      </c>
      <c r="G9" t="b">
        <v>0</v>
      </c>
      <c r="H9" t="s">
        <v>56</v>
      </c>
      <c r="I9" t="s">
        <v>57</v>
      </c>
      <c r="J9" t="s">
        <v>52</v>
      </c>
    </row>
    <row r="10" spans="1:11" x14ac:dyDescent="0.4">
      <c r="A10" t="s">
        <v>18</v>
      </c>
      <c r="B10" t="s">
        <v>19</v>
      </c>
      <c r="C10" t="s">
        <v>11</v>
      </c>
      <c r="D10" t="s">
        <v>20</v>
      </c>
      <c r="E10" t="s">
        <v>21</v>
      </c>
      <c r="F10" t="s">
        <v>22</v>
      </c>
      <c r="G10" t="b">
        <v>0</v>
      </c>
      <c r="H10" t="s">
        <v>23</v>
      </c>
      <c r="I10" t="s">
        <v>24</v>
      </c>
      <c r="J10" t="s">
        <v>18</v>
      </c>
    </row>
    <row r="11" spans="1:11" x14ac:dyDescent="0.4">
      <c r="A11" t="s">
        <v>652</v>
      </c>
      <c r="B11" t="s">
        <v>26</v>
      </c>
      <c r="C11" t="s">
        <v>11</v>
      </c>
      <c r="D11" t="s">
        <v>27</v>
      </c>
      <c r="E11" t="s">
        <v>28</v>
      </c>
      <c r="F11" t="s">
        <v>22</v>
      </c>
      <c r="G11" t="b">
        <v>0</v>
      </c>
      <c r="H11" t="s">
        <v>29</v>
      </c>
      <c r="I11" t="s">
        <v>30</v>
      </c>
      <c r="J11" t="s">
        <v>652</v>
      </c>
      <c r="K11">
        <v>1</v>
      </c>
    </row>
    <row r="12" spans="1:11" x14ac:dyDescent="0.4">
      <c r="A12" t="s">
        <v>9</v>
      </c>
      <c r="B12" t="s">
        <v>10</v>
      </c>
      <c r="C12" t="s">
        <v>11</v>
      </c>
      <c r="D12" t="s">
        <v>12</v>
      </c>
      <c r="E12" t="s">
        <v>13</v>
      </c>
      <c r="F12" t="s">
        <v>14</v>
      </c>
      <c r="G12" t="b">
        <v>0</v>
      </c>
      <c r="H12" t="s">
        <v>16</v>
      </c>
      <c r="I12" t="s">
        <v>17</v>
      </c>
      <c r="J12" t="s">
        <v>9</v>
      </c>
      <c r="K12">
        <v>1</v>
      </c>
    </row>
    <row r="13" spans="1:11" x14ac:dyDescent="0.4">
      <c r="A13" t="s">
        <v>663</v>
      </c>
      <c r="B13" t="s">
        <v>664</v>
      </c>
      <c r="C13" t="s">
        <v>663</v>
      </c>
      <c r="D13" t="s">
        <v>665</v>
      </c>
      <c r="E13" t="s">
        <v>666</v>
      </c>
      <c r="F13" t="s">
        <v>14</v>
      </c>
      <c r="G13" t="b">
        <v>0</v>
      </c>
      <c r="H13" t="s">
        <v>667</v>
      </c>
      <c r="I13" t="s">
        <v>668</v>
      </c>
      <c r="J13" t="s">
        <v>663</v>
      </c>
    </row>
    <row r="14" spans="1:11" x14ac:dyDescent="0.4">
      <c r="A14" t="s">
        <v>92</v>
      </c>
      <c r="B14" t="s">
        <v>93</v>
      </c>
      <c r="C14" t="s">
        <v>11</v>
      </c>
      <c r="D14" t="s">
        <v>94</v>
      </c>
      <c r="E14" t="s">
        <v>95</v>
      </c>
      <c r="F14" t="s">
        <v>96</v>
      </c>
      <c r="G14" t="b">
        <v>0</v>
      </c>
      <c r="H14" t="s">
        <v>97</v>
      </c>
      <c r="I14" t="s">
        <v>98</v>
      </c>
      <c r="J14" t="s">
        <v>92</v>
      </c>
    </row>
    <row r="15" spans="1:11" x14ac:dyDescent="0.4">
      <c r="A15" t="s">
        <v>113</v>
      </c>
      <c r="B15" t="s">
        <v>114</v>
      </c>
      <c r="C15" t="s">
        <v>11</v>
      </c>
      <c r="D15" t="s">
        <v>115</v>
      </c>
      <c r="E15" t="s">
        <v>116</v>
      </c>
      <c r="F15" t="s">
        <v>96</v>
      </c>
      <c r="G15" t="b">
        <v>0</v>
      </c>
      <c r="H15" t="s">
        <v>117</v>
      </c>
      <c r="I15" t="s">
        <v>118</v>
      </c>
      <c r="J15" t="s">
        <v>113</v>
      </c>
    </row>
    <row r="16" spans="1:11" x14ac:dyDescent="0.4">
      <c r="A16" t="s">
        <v>132</v>
      </c>
      <c r="B16" t="s">
        <v>133</v>
      </c>
      <c r="C16" t="s">
        <v>11</v>
      </c>
      <c r="D16" t="s">
        <v>134</v>
      </c>
      <c r="E16" t="s">
        <v>135</v>
      </c>
      <c r="F16" t="s">
        <v>136</v>
      </c>
      <c r="G16" t="b">
        <v>0</v>
      </c>
      <c r="H16" t="s">
        <v>137</v>
      </c>
      <c r="I16" t="s">
        <v>138</v>
      </c>
      <c r="J16" t="s">
        <v>132</v>
      </c>
      <c r="K16">
        <v>2</v>
      </c>
    </row>
    <row r="17" spans="1:10" x14ac:dyDescent="0.4">
      <c r="A17" t="s">
        <v>31</v>
      </c>
      <c r="B17" t="s">
        <v>32</v>
      </c>
      <c r="C17" t="s">
        <v>11</v>
      </c>
      <c r="D17" t="s">
        <v>33</v>
      </c>
      <c r="E17" t="s">
        <v>34</v>
      </c>
      <c r="F17" t="s">
        <v>35</v>
      </c>
      <c r="G17" t="b">
        <v>0</v>
      </c>
      <c r="H17" t="s">
        <v>36</v>
      </c>
      <c r="I17" t="s">
        <v>37</v>
      </c>
      <c r="J17" t="s">
        <v>31</v>
      </c>
    </row>
    <row r="18" spans="1:10" x14ac:dyDescent="0.4">
      <c r="A18" t="s">
        <v>245</v>
      </c>
      <c r="B18" t="s">
        <v>246</v>
      </c>
      <c r="C18" t="s">
        <v>11</v>
      </c>
      <c r="D18" t="s">
        <v>247</v>
      </c>
      <c r="E18" t="s">
        <v>248</v>
      </c>
      <c r="F18" t="s">
        <v>249</v>
      </c>
      <c r="G18" t="b">
        <v>0</v>
      </c>
      <c r="H18" t="s">
        <v>250</v>
      </c>
      <c r="I18" t="s">
        <v>251</v>
      </c>
      <c r="J18" t="s">
        <v>245</v>
      </c>
    </row>
    <row r="19" spans="1:10" x14ac:dyDescent="0.4">
      <c r="A19" t="s">
        <v>179</v>
      </c>
      <c r="B19" t="s">
        <v>180</v>
      </c>
      <c r="C19" t="s">
        <v>11</v>
      </c>
      <c r="D19" t="s">
        <v>181</v>
      </c>
      <c r="E19" t="s">
        <v>182</v>
      </c>
      <c r="F19" t="s">
        <v>183</v>
      </c>
      <c r="G19" t="b">
        <v>0</v>
      </c>
      <c r="H19" t="s">
        <v>184</v>
      </c>
      <c r="I19" t="s">
        <v>185</v>
      </c>
      <c r="J19" t="s">
        <v>179</v>
      </c>
    </row>
    <row r="20" spans="1:10" x14ac:dyDescent="0.4">
      <c r="A20" t="s">
        <v>192</v>
      </c>
      <c r="B20" t="s">
        <v>193</v>
      </c>
      <c r="C20" t="s">
        <v>11</v>
      </c>
      <c r="D20" t="s">
        <v>194</v>
      </c>
      <c r="E20" t="s">
        <v>195</v>
      </c>
      <c r="F20" t="s">
        <v>196</v>
      </c>
      <c r="G20" t="b">
        <v>0</v>
      </c>
      <c r="H20" t="s">
        <v>197</v>
      </c>
      <c r="I20" t="s">
        <v>198</v>
      </c>
      <c r="J20" t="s">
        <v>192</v>
      </c>
    </row>
    <row r="21" spans="1:10" x14ac:dyDescent="0.4">
      <c r="A21" t="s">
        <v>572</v>
      </c>
      <c r="B21" t="s">
        <v>573</v>
      </c>
      <c r="C21" t="s">
        <v>486</v>
      </c>
      <c r="D21" t="s">
        <v>574</v>
      </c>
      <c r="E21" t="s">
        <v>575</v>
      </c>
      <c r="F21" t="s">
        <v>489</v>
      </c>
      <c r="G21" t="b">
        <v>0</v>
      </c>
      <c r="H21" t="s">
        <v>576</v>
      </c>
      <c r="I21" t="s">
        <v>577</v>
      </c>
      <c r="J21" t="s">
        <v>572</v>
      </c>
    </row>
    <row r="22" spans="1:10" x14ac:dyDescent="0.4">
      <c r="A22" t="s">
        <v>578</v>
      </c>
      <c r="B22" t="s">
        <v>579</v>
      </c>
      <c r="C22" t="s">
        <v>486</v>
      </c>
      <c r="D22" t="s">
        <v>580</v>
      </c>
      <c r="E22" t="s">
        <v>581</v>
      </c>
      <c r="F22" t="s">
        <v>489</v>
      </c>
      <c r="G22" t="b">
        <v>0</v>
      </c>
      <c r="H22" t="s">
        <v>582</v>
      </c>
      <c r="I22" t="s">
        <v>583</v>
      </c>
      <c r="J22" t="s">
        <v>578</v>
      </c>
    </row>
    <row r="23" spans="1:10" x14ac:dyDescent="0.4">
      <c r="A23" t="s">
        <v>199</v>
      </c>
      <c r="B23" t="s">
        <v>200</v>
      </c>
      <c r="C23" t="s">
        <v>11</v>
      </c>
      <c r="D23" t="s">
        <v>201</v>
      </c>
      <c r="E23" t="s">
        <v>202</v>
      </c>
      <c r="F23" t="s">
        <v>203</v>
      </c>
      <c r="G23" t="b">
        <v>0</v>
      </c>
      <c r="H23" t="s">
        <v>204</v>
      </c>
      <c r="I23" t="s">
        <v>205</v>
      </c>
      <c r="J23" t="s">
        <v>199</v>
      </c>
    </row>
    <row r="24" spans="1:10" x14ac:dyDescent="0.4">
      <c r="A24" t="s">
        <v>484</v>
      </c>
      <c r="B24" t="s">
        <v>485</v>
      </c>
      <c r="C24" t="s">
        <v>486</v>
      </c>
      <c r="D24" t="s">
        <v>487</v>
      </c>
      <c r="E24" t="s">
        <v>488</v>
      </c>
      <c r="F24" t="s">
        <v>489</v>
      </c>
      <c r="G24" t="b">
        <v>0</v>
      </c>
      <c r="H24" t="s">
        <v>490</v>
      </c>
      <c r="I24" t="s">
        <v>491</v>
      </c>
      <c r="J24" t="s">
        <v>484</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EB8E1-04EE-4D81-B57C-C287C34EED48}">
  <dimension ref="A1:K23"/>
  <sheetViews>
    <sheetView topLeftCell="F1" workbookViewId="0">
      <pane ySplit="1" topLeftCell="A2" activePane="bottomLeft" state="frozen"/>
      <selection pane="bottomLeft" activeCell="L1" sqref="L1:L1048576"/>
    </sheetView>
  </sheetViews>
  <sheetFormatPr baseColWidth="10" defaultRowHeight="14.6" x14ac:dyDescent="0.4"/>
  <cols>
    <col min="1" max="1" width="25.4609375" bestFit="1" customWidth="1"/>
    <col min="2" max="2" width="16.84375" bestFit="1" customWidth="1"/>
    <col min="3" max="3" width="4.4609375" bestFit="1" customWidth="1"/>
    <col min="4" max="4" width="234.3046875" bestFit="1" customWidth="1"/>
    <col min="5" max="5" width="138.23046875" bestFit="1" customWidth="1"/>
    <col min="6" max="6" width="19.23046875" bestFit="1" customWidth="1"/>
    <col min="7" max="7" width="7.765625" bestFit="1" customWidth="1"/>
    <col min="8" max="8" width="20.84375" bestFit="1" customWidth="1"/>
    <col min="9" max="9" width="18.4609375" bestFit="1" customWidth="1"/>
    <col min="10" max="10" width="25.4609375" bestFit="1" customWidth="1"/>
    <col min="11" max="11" width="25.4609375" customWidth="1"/>
  </cols>
  <sheetData>
    <row r="1" spans="1:11" x14ac:dyDescent="0.4">
      <c r="A1" s="13" t="s">
        <v>0</v>
      </c>
      <c r="B1" s="13" t="s">
        <v>1</v>
      </c>
      <c r="C1" s="13" t="s">
        <v>2</v>
      </c>
      <c r="D1" s="13" t="s">
        <v>3</v>
      </c>
      <c r="E1" s="13" t="s">
        <v>4</v>
      </c>
      <c r="F1" s="13" t="s">
        <v>5</v>
      </c>
      <c r="G1" s="13" t="s">
        <v>6</v>
      </c>
      <c r="H1" s="13" t="s">
        <v>7</v>
      </c>
      <c r="I1" s="13" t="s">
        <v>8</v>
      </c>
      <c r="J1" s="13" t="s">
        <v>0</v>
      </c>
      <c r="K1" s="13" t="s">
        <v>645</v>
      </c>
    </row>
    <row r="2" spans="1:11" x14ac:dyDescent="0.4">
      <c r="A2" t="s">
        <v>179</v>
      </c>
      <c r="B2" t="s">
        <v>180</v>
      </c>
      <c r="C2" t="s">
        <v>11</v>
      </c>
      <c r="D2" t="s">
        <v>181</v>
      </c>
      <c r="E2" t="s">
        <v>182</v>
      </c>
      <c r="F2" t="s">
        <v>183</v>
      </c>
      <c r="G2" t="b">
        <v>0</v>
      </c>
      <c r="H2" t="s">
        <v>184</v>
      </c>
      <c r="I2" t="s">
        <v>185</v>
      </c>
      <c r="J2" t="s">
        <v>179</v>
      </c>
      <c r="K2">
        <v>2</v>
      </c>
    </row>
    <row r="3" spans="1:11" x14ac:dyDescent="0.4">
      <c r="A3" t="s">
        <v>186</v>
      </c>
      <c r="B3" t="s">
        <v>187</v>
      </c>
      <c r="C3" t="s">
        <v>79</v>
      </c>
      <c r="D3" t="s">
        <v>188</v>
      </c>
      <c r="E3" t="s">
        <v>189</v>
      </c>
      <c r="F3" t="s">
        <v>183</v>
      </c>
      <c r="G3" t="b">
        <v>0</v>
      </c>
      <c r="H3" t="s">
        <v>190</v>
      </c>
      <c r="I3" t="s">
        <v>191</v>
      </c>
      <c r="J3" t="s">
        <v>186</v>
      </c>
      <c r="K3">
        <v>2</v>
      </c>
    </row>
    <row r="4" spans="1:11" x14ac:dyDescent="0.4">
      <c r="A4" t="s">
        <v>192</v>
      </c>
      <c r="B4" t="s">
        <v>193</v>
      </c>
      <c r="C4" t="s">
        <v>11</v>
      </c>
      <c r="D4" t="s">
        <v>194</v>
      </c>
      <c r="E4" t="s">
        <v>195</v>
      </c>
      <c r="F4" t="s">
        <v>196</v>
      </c>
      <c r="G4" t="b">
        <v>0</v>
      </c>
      <c r="H4" t="s">
        <v>197</v>
      </c>
      <c r="I4" t="s">
        <v>198</v>
      </c>
      <c r="J4" t="s">
        <v>192</v>
      </c>
    </row>
    <row r="5" spans="1:11" x14ac:dyDescent="0.4">
      <c r="A5" t="s">
        <v>212</v>
      </c>
      <c r="B5" t="s">
        <v>213</v>
      </c>
      <c r="C5" t="s">
        <v>11</v>
      </c>
      <c r="D5" t="s">
        <v>214</v>
      </c>
      <c r="E5" t="s">
        <v>215</v>
      </c>
      <c r="F5" t="s">
        <v>216</v>
      </c>
      <c r="G5" t="b">
        <v>0</v>
      </c>
      <c r="H5" t="s">
        <v>217</v>
      </c>
      <c r="I5" t="s">
        <v>218</v>
      </c>
      <c r="J5" t="s">
        <v>212</v>
      </c>
      <c r="K5">
        <v>1</v>
      </c>
    </row>
    <row r="6" spans="1:11" x14ac:dyDescent="0.4">
      <c r="A6" t="s">
        <v>219</v>
      </c>
      <c r="B6" t="s">
        <v>220</v>
      </c>
      <c r="C6" t="s">
        <v>79</v>
      </c>
      <c r="D6" t="s">
        <v>221</v>
      </c>
      <c r="E6" t="s">
        <v>222</v>
      </c>
      <c r="F6" t="s">
        <v>223</v>
      </c>
      <c r="G6" t="b">
        <v>0</v>
      </c>
      <c r="H6" t="s">
        <v>224</v>
      </c>
      <c r="I6" t="s">
        <v>225</v>
      </c>
      <c r="J6" t="s">
        <v>219</v>
      </c>
      <c r="K6">
        <v>1</v>
      </c>
    </row>
    <row r="7" spans="1:11" x14ac:dyDescent="0.4">
      <c r="A7" t="s">
        <v>226</v>
      </c>
      <c r="B7" t="s">
        <v>227</v>
      </c>
      <c r="C7" t="s">
        <v>11</v>
      </c>
      <c r="D7" t="s">
        <v>228</v>
      </c>
      <c r="E7" t="s">
        <v>229</v>
      </c>
      <c r="F7" t="s">
        <v>223</v>
      </c>
      <c r="G7" t="b">
        <v>0</v>
      </c>
      <c r="H7" t="s">
        <v>230</v>
      </c>
      <c r="I7" t="s">
        <v>231</v>
      </c>
      <c r="J7" t="s">
        <v>226</v>
      </c>
    </row>
    <row r="8" spans="1:11" x14ac:dyDescent="0.4">
      <c r="A8" t="s">
        <v>252</v>
      </c>
      <c r="B8" t="s">
        <v>253</v>
      </c>
      <c r="C8" t="s">
        <v>11</v>
      </c>
      <c r="D8" t="s">
        <v>254</v>
      </c>
      <c r="E8" t="s">
        <v>255</v>
      </c>
      <c r="F8" t="s">
        <v>49</v>
      </c>
      <c r="G8" t="b">
        <v>0</v>
      </c>
      <c r="H8" t="s">
        <v>256</v>
      </c>
      <c r="I8" t="s">
        <v>257</v>
      </c>
      <c r="J8" t="s">
        <v>252</v>
      </c>
    </row>
    <row r="9" spans="1:11" x14ac:dyDescent="0.4">
      <c r="A9" t="s">
        <v>92</v>
      </c>
      <c r="B9" t="s">
        <v>93</v>
      </c>
      <c r="C9" t="s">
        <v>11</v>
      </c>
      <c r="D9" t="s">
        <v>94</v>
      </c>
      <c r="E9" t="s">
        <v>95</v>
      </c>
      <c r="F9" t="s">
        <v>96</v>
      </c>
      <c r="G9" t="b">
        <v>0</v>
      </c>
      <c r="H9" t="s">
        <v>97</v>
      </c>
      <c r="I9" t="s">
        <v>98</v>
      </c>
      <c r="J9" t="s">
        <v>92</v>
      </c>
    </row>
    <row r="10" spans="1:11" x14ac:dyDescent="0.4">
      <c r="A10" t="s">
        <v>113</v>
      </c>
      <c r="B10" t="s">
        <v>114</v>
      </c>
      <c r="C10" t="s">
        <v>11</v>
      </c>
      <c r="D10" t="s">
        <v>115</v>
      </c>
      <c r="E10" t="s">
        <v>116</v>
      </c>
      <c r="F10" t="s">
        <v>96</v>
      </c>
      <c r="G10" t="b">
        <v>0</v>
      </c>
      <c r="H10" t="s">
        <v>117</v>
      </c>
      <c r="I10" t="s">
        <v>118</v>
      </c>
      <c r="J10" t="s">
        <v>113</v>
      </c>
      <c r="K10">
        <v>2</v>
      </c>
    </row>
    <row r="11" spans="1:11" x14ac:dyDescent="0.4">
      <c r="A11" t="s">
        <v>125</v>
      </c>
      <c r="B11" t="s">
        <v>126</v>
      </c>
      <c r="C11" t="s">
        <v>11</v>
      </c>
      <c r="D11" t="s">
        <v>127</v>
      </c>
      <c r="E11" t="s">
        <v>128</v>
      </c>
      <c r="F11" t="s">
        <v>129</v>
      </c>
      <c r="G11" t="b">
        <v>0</v>
      </c>
      <c r="H11" t="s">
        <v>130</v>
      </c>
      <c r="I11" t="s">
        <v>131</v>
      </c>
      <c r="J11" t="s">
        <v>125</v>
      </c>
    </row>
    <row r="12" spans="1:11" x14ac:dyDescent="0.4">
      <c r="A12" t="s">
        <v>132</v>
      </c>
      <c r="B12" t="s">
        <v>133</v>
      </c>
      <c r="C12" t="s">
        <v>11</v>
      </c>
      <c r="D12" t="s">
        <v>134</v>
      </c>
      <c r="E12" t="s">
        <v>135</v>
      </c>
      <c r="F12" t="s">
        <v>136</v>
      </c>
      <c r="G12" t="b">
        <v>0</v>
      </c>
      <c r="H12" t="s">
        <v>137</v>
      </c>
      <c r="I12" t="s">
        <v>138</v>
      </c>
      <c r="J12" t="s">
        <v>132</v>
      </c>
      <c r="K12">
        <v>1</v>
      </c>
    </row>
    <row r="13" spans="1:11" x14ac:dyDescent="0.4">
      <c r="A13" t="s">
        <v>99</v>
      </c>
      <c r="B13" t="s">
        <v>100</v>
      </c>
      <c r="C13" t="s">
        <v>11</v>
      </c>
      <c r="D13" t="s">
        <v>101</v>
      </c>
      <c r="E13" t="s">
        <v>102</v>
      </c>
      <c r="F13" t="s">
        <v>103</v>
      </c>
      <c r="G13" t="b">
        <v>0</v>
      </c>
      <c r="H13" t="s">
        <v>104</v>
      </c>
      <c r="I13" t="s">
        <v>105</v>
      </c>
      <c r="J13" t="s">
        <v>99</v>
      </c>
    </row>
    <row r="14" spans="1:11" x14ac:dyDescent="0.4">
      <c r="A14" t="s">
        <v>9</v>
      </c>
      <c r="B14" t="s">
        <v>10</v>
      </c>
      <c r="C14" t="s">
        <v>11</v>
      </c>
      <c r="D14" t="s">
        <v>12</v>
      </c>
      <c r="E14" t="s">
        <v>13</v>
      </c>
      <c r="F14" t="s">
        <v>14</v>
      </c>
      <c r="G14" t="b">
        <v>0</v>
      </c>
      <c r="H14" t="s">
        <v>16</v>
      </c>
      <c r="I14" t="s">
        <v>17</v>
      </c>
      <c r="J14" t="s">
        <v>9</v>
      </c>
    </row>
    <row r="15" spans="1:11" x14ac:dyDescent="0.4">
      <c r="A15" t="s">
        <v>52</v>
      </c>
      <c r="B15" t="s">
        <v>53</v>
      </c>
      <c r="C15" t="s">
        <v>11</v>
      </c>
      <c r="D15" t="s">
        <v>54</v>
      </c>
      <c r="E15" t="s">
        <v>55</v>
      </c>
      <c r="F15" t="s">
        <v>49</v>
      </c>
      <c r="G15" t="b">
        <v>0</v>
      </c>
      <c r="H15" t="s">
        <v>56</v>
      </c>
      <c r="I15" t="s">
        <v>57</v>
      </c>
      <c r="J15" t="s">
        <v>52</v>
      </c>
    </row>
    <row r="16" spans="1:11" x14ac:dyDescent="0.4">
      <c r="A16" t="s">
        <v>18</v>
      </c>
      <c r="B16" t="s">
        <v>19</v>
      </c>
      <c r="C16" t="s">
        <v>11</v>
      </c>
      <c r="D16" t="s">
        <v>20</v>
      </c>
      <c r="E16" t="s">
        <v>21</v>
      </c>
      <c r="F16" t="s">
        <v>22</v>
      </c>
      <c r="G16" t="b">
        <v>0</v>
      </c>
      <c r="H16" t="s">
        <v>23</v>
      </c>
      <c r="I16" t="s">
        <v>24</v>
      </c>
      <c r="J16" t="s">
        <v>18</v>
      </c>
    </row>
    <row r="17" spans="1:11" x14ac:dyDescent="0.4">
      <c r="A17" t="s">
        <v>31</v>
      </c>
      <c r="B17" t="s">
        <v>32</v>
      </c>
      <c r="C17" t="s">
        <v>11</v>
      </c>
      <c r="D17" t="s">
        <v>33</v>
      </c>
      <c r="E17" t="s">
        <v>34</v>
      </c>
      <c r="F17" t="s">
        <v>35</v>
      </c>
      <c r="G17" t="b">
        <v>0</v>
      </c>
      <c r="H17" t="s">
        <v>36</v>
      </c>
      <c r="I17" t="s">
        <v>37</v>
      </c>
      <c r="J17" t="s">
        <v>31</v>
      </c>
    </row>
    <row r="18" spans="1:11" x14ac:dyDescent="0.4">
      <c r="A18" t="s">
        <v>245</v>
      </c>
      <c r="B18" t="s">
        <v>246</v>
      </c>
      <c r="C18" t="s">
        <v>11</v>
      </c>
      <c r="D18" t="s">
        <v>247</v>
      </c>
      <c r="E18" t="s">
        <v>248</v>
      </c>
      <c r="F18" t="s">
        <v>249</v>
      </c>
      <c r="G18" t="b">
        <v>0</v>
      </c>
      <c r="H18" t="s">
        <v>250</v>
      </c>
      <c r="I18" t="s">
        <v>251</v>
      </c>
      <c r="J18" t="s">
        <v>245</v>
      </c>
    </row>
    <row r="19" spans="1:11" x14ac:dyDescent="0.4">
      <c r="A19" t="s">
        <v>578</v>
      </c>
      <c r="B19" t="s">
        <v>579</v>
      </c>
      <c r="C19" t="s">
        <v>486</v>
      </c>
      <c r="D19" t="s">
        <v>580</v>
      </c>
      <c r="E19" t="s">
        <v>581</v>
      </c>
      <c r="F19" t="s">
        <v>489</v>
      </c>
      <c r="G19" t="b">
        <v>0</v>
      </c>
      <c r="H19" t="s">
        <v>582</v>
      </c>
      <c r="I19" t="s">
        <v>583</v>
      </c>
      <c r="J19" t="s">
        <v>578</v>
      </c>
    </row>
    <row r="20" spans="1:11" x14ac:dyDescent="0.4">
      <c r="A20" t="s">
        <v>572</v>
      </c>
      <c r="B20" t="s">
        <v>573</v>
      </c>
      <c r="C20" t="s">
        <v>486</v>
      </c>
      <c r="D20" t="s">
        <v>574</v>
      </c>
      <c r="E20" t="s">
        <v>575</v>
      </c>
      <c r="F20" t="s">
        <v>489</v>
      </c>
      <c r="G20" t="b">
        <v>0</v>
      </c>
      <c r="H20" t="s">
        <v>576</v>
      </c>
      <c r="I20" t="s">
        <v>577</v>
      </c>
      <c r="J20" t="s">
        <v>572</v>
      </c>
    </row>
    <row r="21" spans="1:11" x14ac:dyDescent="0.4">
      <c r="A21" t="s">
        <v>232</v>
      </c>
      <c r="B21" t="s">
        <v>233</v>
      </c>
      <c r="C21" t="s">
        <v>11</v>
      </c>
      <c r="D21" t="s">
        <v>234</v>
      </c>
      <c r="E21" t="s">
        <v>235</v>
      </c>
      <c r="F21" t="s">
        <v>216</v>
      </c>
      <c r="G21" t="b">
        <v>1</v>
      </c>
      <c r="H21" t="s">
        <v>236</v>
      </c>
      <c r="I21" t="s">
        <v>237</v>
      </c>
      <c r="J21" t="s">
        <v>232</v>
      </c>
      <c r="K21">
        <v>1</v>
      </c>
    </row>
    <row r="22" spans="1:11" x14ac:dyDescent="0.4">
      <c r="A22" t="s">
        <v>238</v>
      </c>
      <c r="B22" t="s">
        <v>239</v>
      </c>
      <c r="C22" t="s">
        <v>11</v>
      </c>
      <c r="D22" t="s">
        <v>240</v>
      </c>
      <c r="E22" t="s">
        <v>241</v>
      </c>
      <c r="F22" t="s">
        <v>242</v>
      </c>
      <c r="G22" t="b">
        <v>1</v>
      </c>
      <c r="H22" t="s">
        <v>243</v>
      </c>
      <c r="I22" t="s">
        <v>244</v>
      </c>
      <c r="J22" t="s">
        <v>238</v>
      </c>
    </row>
    <row r="23" spans="1:11" x14ac:dyDescent="0.4">
      <c r="A23" t="s">
        <v>484</v>
      </c>
      <c r="B23" t="s">
        <v>485</v>
      </c>
      <c r="C23" t="s">
        <v>486</v>
      </c>
      <c r="D23" t="s">
        <v>487</v>
      </c>
      <c r="E23" t="s">
        <v>488</v>
      </c>
      <c r="F23" t="s">
        <v>489</v>
      </c>
      <c r="G23" t="b">
        <v>0</v>
      </c>
      <c r="H23" t="s">
        <v>490</v>
      </c>
      <c r="I23" t="s">
        <v>491</v>
      </c>
      <c r="J23" t="s">
        <v>484</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A701C-A0D7-4B09-8F05-A79E8F355DF7}">
  <dimension ref="A1:K26"/>
  <sheetViews>
    <sheetView topLeftCell="F1" workbookViewId="0">
      <pane ySplit="1" topLeftCell="A10" activePane="bottomLeft" state="frozen"/>
      <selection pane="bottomLeft" activeCell="L1" sqref="L1:L1048576"/>
    </sheetView>
  </sheetViews>
  <sheetFormatPr baseColWidth="10" defaultRowHeight="14.6" x14ac:dyDescent="0.4"/>
  <cols>
    <col min="1" max="1" width="25.4609375" bestFit="1" customWidth="1"/>
    <col min="2" max="2" width="16.84375" bestFit="1" customWidth="1"/>
    <col min="3" max="3" width="4.4609375" bestFit="1" customWidth="1"/>
    <col min="4" max="4" width="234.3046875" bestFit="1" customWidth="1"/>
    <col min="5" max="5" width="137.61328125" bestFit="1" customWidth="1"/>
    <col min="6" max="6" width="20.15234375" bestFit="1" customWidth="1"/>
    <col min="7" max="7" width="7.765625" bestFit="1" customWidth="1"/>
    <col min="8" max="8" width="20.84375" bestFit="1" customWidth="1"/>
    <col min="9" max="9" width="18.4609375" bestFit="1" customWidth="1"/>
    <col min="10" max="10" width="25.4609375" bestFit="1" customWidth="1"/>
    <col min="11" max="11" width="11" bestFit="1" customWidth="1"/>
  </cols>
  <sheetData>
    <row r="1" spans="1:11" x14ac:dyDescent="0.4">
      <c r="A1" s="13" t="s">
        <v>0</v>
      </c>
      <c r="B1" s="13" t="s">
        <v>1</v>
      </c>
      <c r="C1" s="13" t="s">
        <v>2</v>
      </c>
      <c r="D1" s="13" t="s">
        <v>3</v>
      </c>
      <c r="E1" s="13" t="s">
        <v>4</v>
      </c>
      <c r="F1" s="13" t="s">
        <v>5</v>
      </c>
      <c r="G1" s="13" t="s">
        <v>6</v>
      </c>
      <c r="H1" s="13" t="s">
        <v>7</v>
      </c>
      <c r="I1" s="13" t="s">
        <v>8</v>
      </c>
      <c r="J1" s="13" t="s">
        <v>0</v>
      </c>
      <c r="K1" s="13" t="s">
        <v>645</v>
      </c>
    </row>
    <row r="2" spans="1:11" x14ac:dyDescent="0.4">
      <c r="A2" t="s">
        <v>245</v>
      </c>
      <c r="B2" t="s">
        <v>246</v>
      </c>
      <c r="C2" t="s">
        <v>11</v>
      </c>
      <c r="D2" t="s">
        <v>247</v>
      </c>
      <c r="E2" t="s">
        <v>248</v>
      </c>
      <c r="F2" t="s">
        <v>249</v>
      </c>
      <c r="G2" t="b">
        <v>0</v>
      </c>
      <c r="H2" t="s">
        <v>250</v>
      </c>
      <c r="I2" t="s">
        <v>251</v>
      </c>
      <c r="J2" t="s">
        <v>245</v>
      </c>
      <c r="K2">
        <v>3</v>
      </c>
    </row>
    <row r="3" spans="1:11" x14ac:dyDescent="0.4">
      <c r="A3" t="s">
        <v>364</v>
      </c>
      <c r="B3" t="s">
        <v>365</v>
      </c>
      <c r="C3" t="s">
        <v>11</v>
      </c>
      <c r="D3" t="s">
        <v>366</v>
      </c>
      <c r="E3" t="s">
        <v>367</v>
      </c>
      <c r="F3" t="s">
        <v>349</v>
      </c>
      <c r="G3" t="b">
        <v>0</v>
      </c>
      <c r="H3" t="s">
        <v>368</v>
      </c>
      <c r="I3" t="s">
        <v>369</v>
      </c>
      <c r="J3" t="s">
        <v>364</v>
      </c>
      <c r="K3">
        <v>1</v>
      </c>
    </row>
    <row r="4" spans="1:11" x14ac:dyDescent="0.4">
      <c r="A4" t="s">
        <v>345</v>
      </c>
      <c r="B4" t="s">
        <v>346</v>
      </c>
      <c r="C4" t="s">
        <v>11</v>
      </c>
      <c r="D4" t="s">
        <v>347</v>
      </c>
      <c r="E4" t="s">
        <v>348</v>
      </c>
      <c r="F4" t="s">
        <v>349</v>
      </c>
      <c r="G4" t="b">
        <v>0</v>
      </c>
      <c r="H4" t="s">
        <v>350</v>
      </c>
      <c r="I4" t="s">
        <v>351</v>
      </c>
      <c r="J4" t="s">
        <v>345</v>
      </c>
    </row>
    <row r="5" spans="1:11" x14ac:dyDescent="0.4">
      <c r="A5" t="s">
        <v>352</v>
      </c>
      <c r="B5" t="s">
        <v>353</v>
      </c>
      <c r="C5" t="s">
        <v>11</v>
      </c>
      <c r="D5" t="s">
        <v>354</v>
      </c>
      <c r="E5" t="s">
        <v>355</v>
      </c>
      <c r="F5" t="s">
        <v>349</v>
      </c>
      <c r="G5" t="b">
        <v>0</v>
      </c>
      <c r="H5" t="s">
        <v>356</v>
      </c>
      <c r="I5" t="s">
        <v>357</v>
      </c>
      <c r="J5" t="s">
        <v>352</v>
      </c>
    </row>
    <row r="6" spans="1:11" x14ac:dyDescent="0.4">
      <c r="A6" t="s">
        <v>258</v>
      </c>
      <c r="B6" t="s">
        <v>259</v>
      </c>
      <c r="C6" t="s">
        <v>11</v>
      </c>
      <c r="D6" t="s">
        <v>260</v>
      </c>
      <c r="E6" t="s">
        <v>261</v>
      </c>
      <c r="F6" t="s">
        <v>262</v>
      </c>
      <c r="G6" t="b">
        <v>0</v>
      </c>
      <c r="H6" t="s">
        <v>263</v>
      </c>
      <c r="I6" t="s">
        <v>264</v>
      </c>
      <c r="J6" t="s">
        <v>258</v>
      </c>
      <c r="K6">
        <v>1</v>
      </c>
    </row>
    <row r="7" spans="1:11" x14ac:dyDescent="0.4">
      <c r="A7" t="s">
        <v>322</v>
      </c>
      <c r="B7" t="s">
        <v>323</v>
      </c>
      <c r="C7" t="s">
        <v>11</v>
      </c>
      <c r="D7" t="s">
        <v>324</v>
      </c>
      <c r="E7" t="s">
        <v>325</v>
      </c>
      <c r="F7" t="s">
        <v>326</v>
      </c>
      <c r="G7" t="b">
        <v>1</v>
      </c>
      <c r="H7" t="s">
        <v>327</v>
      </c>
      <c r="I7" t="s">
        <v>328</v>
      </c>
      <c r="J7" t="s">
        <v>322</v>
      </c>
    </row>
    <row r="8" spans="1:11" x14ac:dyDescent="0.4">
      <c r="A8" t="s">
        <v>411</v>
      </c>
      <c r="B8" t="s">
        <v>412</v>
      </c>
      <c r="C8" t="s">
        <v>11</v>
      </c>
      <c r="D8" t="s">
        <v>413</v>
      </c>
      <c r="E8" t="s">
        <v>414</v>
      </c>
      <c r="F8" t="s">
        <v>415</v>
      </c>
      <c r="G8" t="b">
        <v>0</v>
      </c>
      <c r="H8" t="s">
        <v>416</v>
      </c>
      <c r="I8" t="s">
        <v>417</v>
      </c>
      <c r="J8" t="s">
        <v>411</v>
      </c>
      <c r="K8">
        <v>1</v>
      </c>
    </row>
    <row r="9" spans="1:11" x14ac:dyDescent="0.4">
      <c r="A9" t="s">
        <v>302</v>
      </c>
      <c r="B9" t="s">
        <v>303</v>
      </c>
      <c r="C9" t="s">
        <v>11</v>
      </c>
      <c r="D9" t="s">
        <v>304</v>
      </c>
      <c r="E9" t="s">
        <v>305</v>
      </c>
      <c r="F9" t="s">
        <v>306</v>
      </c>
      <c r="G9" t="b">
        <v>1</v>
      </c>
      <c r="H9" t="s">
        <v>307</v>
      </c>
      <c r="I9" t="s">
        <v>308</v>
      </c>
      <c r="J9" t="s">
        <v>302</v>
      </c>
    </row>
    <row r="10" spans="1:11" x14ac:dyDescent="0.4">
      <c r="A10" t="s">
        <v>268</v>
      </c>
      <c r="B10" t="s">
        <v>269</v>
      </c>
      <c r="C10" t="s">
        <v>11</v>
      </c>
      <c r="D10" t="s">
        <v>270</v>
      </c>
      <c r="E10" t="s">
        <v>271</v>
      </c>
      <c r="F10" t="s">
        <v>272</v>
      </c>
      <c r="G10" t="b">
        <v>1</v>
      </c>
      <c r="H10" t="s">
        <v>273</v>
      </c>
      <c r="I10" t="s">
        <v>274</v>
      </c>
      <c r="J10" t="s">
        <v>268</v>
      </c>
    </row>
    <row r="11" spans="1:11" x14ac:dyDescent="0.4">
      <c r="A11" t="s">
        <v>252</v>
      </c>
      <c r="B11" t="s">
        <v>253</v>
      </c>
      <c r="C11" t="s">
        <v>11</v>
      </c>
      <c r="D11" t="s">
        <v>254</v>
      </c>
      <c r="E11" t="s">
        <v>255</v>
      </c>
      <c r="F11" t="s">
        <v>49</v>
      </c>
      <c r="G11" t="b">
        <v>0</v>
      </c>
      <c r="H11" t="s">
        <v>256</v>
      </c>
      <c r="I11" t="s">
        <v>257</v>
      </c>
      <c r="J11" t="s">
        <v>252</v>
      </c>
    </row>
    <row r="12" spans="1:11" x14ac:dyDescent="0.4">
      <c r="A12" t="s">
        <v>212</v>
      </c>
      <c r="B12" t="s">
        <v>213</v>
      </c>
      <c r="C12" t="s">
        <v>11</v>
      </c>
      <c r="D12" t="s">
        <v>214</v>
      </c>
      <c r="E12" t="s">
        <v>215</v>
      </c>
      <c r="F12" t="s">
        <v>216</v>
      </c>
      <c r="G12" t="b">
        <v>0</v>
      </c>
      <c r="H12" t="s">
        <v>217</v>
      </c>
      <c r="I12" t="s">
        <v>218</v>
      </c>
      <c r="J12" t="s">
        <v>212</v>
      </c>
      <c r="K12">
        <v>1</v>
      </c>
    </row>
    <row r="13" spans="1:11" x14ac:dyDescent="0.4">
      <c r="A13" t="s">
        <v>219</v>
      </c>
      <c r="B13" t="s">
        <v>220</v>
      </c>
      <c r="C13" t="s">
        <v>79</v>
      </c>
      <c r="D13" t="s">
        <v>221</v>
      </c>
      <c r="E13" t="s">
        <v>222</v>
      </c>
      <c r="F13" t="s">
        <v>223</v>
      </c>
      <c r="G13" t="b">
        <v>0</v>
      </c>
      <c r="H13" t="s">
        <v>224</v>
      </c>
      <c r="I13" t="s">
        <v>225</v>
      </c>
      <c r="J13" t="s">
        <v>219</v>
      </c>
      <c r="K13">
        <v>1</v>
      </c>
    </row>
    <row r="14" spans="1:11" x14ac:dyDescent="0.4">
      <c r="A14" t="s">
        <v>179</v>
      </c>
      <c r="B14" t="s">
        <v>180</v>
      </c>
      <c r="C14" t="s">
        <v>11</v>
      </c>
      <c r="D14" t="s">
        <v>181</v>
      </c>
      <c r="E14" t="s">
        <v>182</v>
      </c>
      <c r="F14" t="s">
        <v>183</v>
      </c>
      <c r="G14" t="b">
        <v>0</v>
      </c>
      <c r="H14" t="s">
        <v>184</v>
      </c>
      <c r="I14" t="s">
        <v>185</v>
      </c>
      <c r="J14" t="s">
        <v>179</v>
      </c>
      <c r="K14">
        <v>1</v>
      </c>
    </row>
    <row r="15" spans="1:11" x14ac:dyDescent="0.4">
      <c r="A15" t="s">
        <v>192</v>
      </c>
      <c r="B15" t="s">
        <v>193</v>
      </c>
      <c r="C15" t="s">
        <v>11</v>
      </c>
      <c r="D15" t="s">
        <v>194</v>
      </c>
      <c r="E15" t="s">
        <v>195</v>
      </c>
      <c r="F15" t="s">
        <v>196</v>
      </c>
      <c r="G15" t="b">
        <v>0</v>
      </c>
      <c r="H15" t="s">
        <v>197</v>
      </c>
      <c r="I15" t="s">
        <v>198</v>
      </c>
      <c r="J15" t="s">
        <v>192</v>
      </c>
    </row>
    <row r="16" spans="1:11" x14ac:dyDescent="0.4">
      <c r="A16" t="s">
        <v>92</v>
      </c>
      <c r="B16" t="s">
        <v>93</v>
      </c>
      <c r="C16" t="s">
        <v>11</v>
      </c>
      <c r="D16" t="s">
        <v>94</v>
      </c>
      <c r="E16" t="s">
        <v>95</v>
      </c>
      <c r="F16" t="s">
        <v>96</v>
      </c>
      <c r="G16" t="b">
        <v>0</v>
      </c>
      <c r="H16" t="s">
        <v>97</v>
      </c>
      <c r="I16" t="s">
        <v>98</v>
      </c>
      <c r="J16" t="s">
        <v>92</v>
      </c>
    </row>
    <row r="17" spans="1:11" x14ac:dyDescent="0.4">
      <c r="A17" t="s">
        <v>113</v>
      </c>
      <c r="B17" t="s">
        <v>114</v>
      </c>
      <c r="C17" t="s">
        <v>11</v>
      </c>
      <c r="D17" t="s">
        <v>115</v>
      </c>
      <c r="E17" t="s">
        <v>116</v>
      </c>
      <c r="F17" t="s">
        <v>96</v>
      </c>
      <c r="G17" t="b">
        <v>0</v>
      </c>
      <c r="H17" t="s">
        <v>117</v>
      </c>
      <c r="I17" t="s">
        <v>118</v>
      </c>
      <c r="J17" t="s">
        <v>113</v>
      </c>
    </row>
    <row r="18" spans="1:11" x14ac:dyDescent="0.4">
      <c r="A18" t="s">
        <v>125</v>
      </c>
      <c r="B18" t="s">
        <v>126</v>
      </c>
      <c r="C18" t="s">
        <v>11</v>
      </c>
      <c r="D18" t="s">
        <v>127</v>
      </c>
      <c r="E18" t="s">
        <v>128</v>
      </c>
      <c r="F18" t="s">
        <v>129</v>
      </c>
      <c r="G18" t="b">
        <v>0</v>
      </c>
      <c r="H18" t="s">
        <v>130</v>
      </c>
      <c r="I18" t="s">
        <v>131</v>
      </c>
      <c r="J18" t="s">
        <v>125</v>
      </c>
    </row>
    <row r="19" spans="1:11" x14ac:dyDescent="0.4">
      <c r="A19" t="s">
        <v>9</v>
      </c>
      <c r="B19" t="s">
        <v>10</v>
      </c>
      <c r="C19" t="s">
        <v>11</v>
      </c>
      <c r="D19" t="s">
        <v>12</v>
      </c>
      <c r="E19" t="s">
        <v>13</v>
      </c>
      <c r="F19" t="s">
        <v>14</v>
      </c>
      <c r="G19" t="b">
        <v>0</v>
      </c>
      <c r="H19" t="s">
        <v>16</v>
      </c>
      <c r="I19" t="s">
        <v>17</v>
      </c>
      <c r="J19" t="s">
        <v>9</v>
      </c>
    </row>
    <row r="20" spans="1:11" x14ac:dyDescent="0.4">
      <c r="A20" t="s">
        <v>18</v>
      </c>
      <c r="B20" t="s">
        <v>19</v>
      </c>
      <c r="C20" t="s">
        <v>11</v>
      </c>
      <c r="D20" t="s">
        <v>20</v>
      </c>
      <c r="E20" t="s">
        <v>21</v>
      </c>
      <c r="F20" t="s">
        <v>22</v>
      </c>
      <c r="G20" t="b">
        <v>0</v>
      </c>
      <c r="H20" t="s">
        <v>23</v>
      </c>
      <c r="I20" t="s">
        <v>24</v>
      </c>
      <c r="J20" t="s">
        <v>18</v>
      </c>
    </row>
    <row r="21" spans="1:11" x14ac:dyDescent="0.4">
      <c r="A21" t="s">
        <v>31</v>
      </c>
      <c r="B21" t="s">
        <v>32</v>
      </c>
      <c r="C21" t="s">
        <v>11</v>
      </c>
      <c r="D21" t="s">
        <v>33</v>
      </c>
      <c r="E21" t="s">
        <v>34</v>
      </c>
      <c r="F21" t="s">
        <v>35</v>
      </c>
      <c r="G21" t="b">
        <v>0</v>
      </c>
      <c r="H21" t="s">
        <v>36</v>
      </c>
      <c r="I21" t="s">
        <v>37</v>
      </c>
      <c r="J21" t="s">
        <v>31</v>
      </c>
      <c r="K21">
        <v>2</v>
      </c>
    </row>
    <row r="22" spans="1:11" x14ac:dyDescent="0.4">
      <c r="A22" t="s">
        <v>578</v>
      </c>
      <c r="B22" t="s">
        <v>579</v>
      </c>
      <c r="C22" t="s">
        <v>486</v>
      </c>
      <c r="D22" t="s">
        <v>580</v>
      </c>
      <c r="E22" t="s">
        <v>581</v>
      </c>
      <c r="F22" t="s">
        <v>489</v>
      </c>
      <c r="G22" t="b">
        <v>0</v>
      </c>
      <c r="H22" t="s">
        <v>582</v>
      </c>
      <c r="I22" t="s">
        <v>583</v>
      </c>
      <c r="J22" t="s">
        <v>578</v>
      </c>
    </row>
    <row r="23" spans="1:11" x14ac:dyDescent="0.4">
      <c r="A23" t="s">
        <v>572</v>
      </c>
      <c r="B23" t="s">
        <v>573</v>
      </c>
      <c r="C23" t="s">
        <v>486</v>
      </c>
      <c r="D23" t="s">
        <v>574</v>
      </c>
      <c r="E23" t="s">
        <v>575</v>
      </c>
      <c r="F23" t="s">
        <v>489</v>
      </c>
      <c r="G23" t="b">
        <v>0</v>
      </c>
      <c r="H23" t="s">
        <v>576</v>
      </c>
      <c r="I23" t="s">
        <v>577</v>
      </c>
      <c r="J23" t="s">
        <v>572</v>
      </c>
    </row>
    <row r="24" spans="1:11" x14ac:dyDescent="0.4">
      <c r="A24" t="s">
        <v>159</v>
      </c>
      <c r="B24" t="s">
        <v>160</v>
      </c>
      <c r="C24" t="s">
        <v>79</v>
      </c>
      <c r="D24" t="s">
        <v>161</v>
      </c>
      <c r="E24" t="s">
        <v>162</v>
      </c>
      <c r="F24" t="s">
        <v>163</v>
      </c>
      <c r="G24" t="b">
        <v>0</v>
      </c>
      <c r="H24" t="s">
        <v>164</v>
      </c>
      <c r="I24" t="s">
        <v>165</v>
      </c>
      <c r="J24" t="s">
        <v>159</v>
      </c>
      <c r="K24" s="11">
        <v>1</v>
      </c>
    </row>
    <row r="25" spans="1:11" x14ac:dyDescent="0.4">
      <c r="A25" t="s">
        <v>106</v>
      </c>
      <c r="B25" t="s">
        <v>107</v>
      </c>
      <c r="C25" t="s">
        <v>11</v>
      </c>
      <c r="D25" t="s">
        <v>108</v>
      </c>
      <c r="E25" t="s">
        <v>109</v>
      </c>
      <c r="F25" t="s">
        <v>110</v>
      </c>
      <c r="G25" t="b">
        <v>0</v>
      </c>
      <c r="H25" t="s">
        <v>111</v>
      </c>
      <c r="I25" t="s">
        <v>112</v>
      </c>
      <c r="J25" t="s">
        <v>106</v>
      </c>
      <c r="K25" s="11">
        <v>1</v>
      </c>
    </row>
    <row r="26" spans="1:11" x14ac:dyDescent="0.4">
      <c r="A26" t="s">
        <v>484</v>
      </c>
      <c r="B26" t="s">
        <v>485</v>
      </c>
      <c r="C26" t="s">
        <v>486</v>
      </c>
      <c r="D26" t="s">
        <v>487</v>
      </c>
      <c r="E26" t="s">
        <v>488</v>
      </c>
      <c r="F26" t="s">
        <v>489</v>
      </c>
      <c r="G26" t="b">
        <v>0</v>
      </c>
      <c r="H26" t="s">
        <v>490</v>
      </c>
      <c r="I26" t="s">
        <v>491</v>
      </c>
      <c r="J26" t="s">
        <v>484</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1A3B5-4D18-4F4F-9381-31F98631EB5B}">
  <dimension ref="A1:L27"/>
  <sheetViews>
    <sheetView topLeftCell="E1" workbookViewId="0">
      <pane ySplit="1" topLeftCell="A4" activePane="bottomLeft" state="frozen"/>
      <selection pane="bottomLeft" activeCell="K24" sqref="K24:K27"/>
    </sheetView>
  </sheetViews>
  <sheetFormatPr baseColWidth="10" defaultRowHeight="14.6" x14ac:dyDescent="0.4"/>
  <cols>
    <col min="1" max="1" width="23.921875" bestFit="1" customWidth="1"/>
    <col min="2" max="2" width="18.4609375" bestFit="1" customWidth="1"/>
    <col min="3" max="3" width="6.765625" bestFit="1" customWidth="1"/>
    <col min="4" max="4" width="234.3046875" bestFit="1" customWidth="1"/>
    <col min="5" max="5" width="148.3828125" bestFit="1" customWidth="1"/>
    <col min="6" max="6" width="19.23046875" bestFit="1" customWidth="1"/>
    <col min="7" max="7" width="7.765625" bestFit="1" customWidth="1"/>
    <col min="8" max="8" width="22.53515625" bestFit="1" customWidth="1"/>
    <col min="9" max="9" width="20.07421875" bestFit="1" customWidth="1"/>
    <col min="10" max="10" width="23.921875" bestFit="1" customWidth="1"/>
    <col min="11" max="11" width="8.15234375" bestFit="1" customWidth="1"/>
    <col min="12" max="12" width="11" bestFit="1" customWidth="1"/>
  </cols>
  <sheetData>
    <row r="1" spans="1:12" x14ac:dyDescent="0.4">
      <c r="A1" s="14" t="s">
        <v>0</v>
      </c>
      <c r="B1" s="14" t="s">
        <v>1</v>
      </c>
      <c r="C1" s="14" t="s">
        <v>2</v>
      </c>
      <c r="D1" s="14" t="s">
        <v>3</v>
      </c>
      <c r="E1" s="14" t="s">
        <v>4</v>
      </c>
      <c r="F1" s="14" t="s">
        <v>5</v>
      </c>
      <c r="G1" s="14" t="s">
        <v>6</v>
      </c>
      <c r="H1" s="14" t="s">
        <v>7</v>
      </c>
      <c r="I1" s="14" t="s">
        <v>8</v>
      </c>
      <c r="J1" s="14" t="s">
        <v>0</v>
      </c>
      <c r="K1" s="14"/>
      <c r="L1" s="14" t="s">
        <v>645</v>
      </c>
    </row>
    <row r="2" spans="1:12" x14ac:dyDescent="0.4">
      <c r="A2" t="s">
        <v>424</v>
      </c>
      <c r="B2" t="s">
        <v>425</v>
      </c>
      <c r="C2" t="s">
        <v>11</v>
      </c>
      <c r="D2" t="s">
        <v>426</v>
      </c>
      <c r="E2" t="s">
        <v>427</v>
      </c>
      <c r="F2" t="s">
        <v>428</v>
      </c>
      <c r="G2" t="b">
        <v>0</v>
      </c>
      <c r="H2" t="s">
        <v>429</v>
      </c>
      <c r="I2" t="s">
        <v>430</v>
      </c>
      <c r="J2" t="s">
        <v>424</v>
      </c>
      <c r="K2">
        <v>2</v>
      </c>
      <c r="L2" s="5" t="s">
        <v>648</v>
      </c>
    </row>
    <row r="3" spans="1:12" x14ac:dyDescent="0.4">
      <c r="A3" t="s">
        <v>431</v>
      </c>
      <c r="B3" t="s">
        <v>432</v>
      </c>
      <c r="C3" t="s">
        <v>79</v>
      </c>
      <c r="D3" t="s">
        <v>433</v>
      </c>
      <c r="E3" t="s">
        <v>434</v>
      </c>
      <c r="F3" t="s">
        <v>435</v>
      </c>
      <c r="G3" t="b">
        <v>0</v>
      </c>
      <c r="H3" t="s">
        <v>436</v>
      </c>
      <c r="I3" t="s">
        <v>437</v>
      </c>
      <c r="J3" t="s">
        <v>431</v>
      </c>
      <c r="K3">
        <v>2</v>
      </c>
      <c r="L3" s="5" t="s">
        <v>648</v>
      </c>
    </row>
    <row r="4" spans="1:12" x14ac:dyDescent="0.4">
      <c r="A4" t="s">
        <v>58</v>
      </c>
      <c r="B4" t="s">
        <v>59</v>
      </c>
      <c r="C4" t="s">
        <v>11</v>
      </c>
      <c r="D4" t="s">
        <v>60</v>
      </c>
      <c r="E4" t="s">
        <v>61</v>
      </c>
      <c r="F4" t="s">
        <v>62</v>
      </c>
      <c r="G4" t="b">
        <v>0</v>
      </c>
      <c r="H4" t="s">
        <v>63</v>
      </c>
      <c r="I4" t="s">
        <v>64</v>
      </c>
      <c r="J4" t="s">
        <v>58</v>
      </c>
      <c r="K4">
        <v>2</v>
      </c>
      <c r="L4" s="5" t="s">
        <v>648</v>
      </c>
    </row>
    <row r="5" spans="1:12" x14ac:dyDescent="0.4">
      <c r="A5" t="s">
        <v>252</v>
      </c>
      <c r="B5" t="s">
        <v>253</v>
      </c>
      <c r="C5" t="s">
        <v>11</v>
      </c>
      <c r="D5" t="s">
        <v>254</v>
      </c>
      <c r="E5" t="s">
        <v>255</v>
      </c>
      <c r="F5" t="s">
        <v>49</v>
      </c>
      <c r="G5" t="b">
        <v>0</v>
      </c>
      <c r="H5" t="s">
        <v>256</v>
      </c>
      <c r="I5" t="s">
        <v>257</v>
      </c>
      <c r="J5" t="s">
        <v>252</v>
      </c>
      <c r="K5">
        <v>1</v>
      </c>
      <c r="L5" s="5" t="s">
        <v>648</v>
      </c>
    </row>
    <row r="6" spans="1:12" x14ac:dyDescent="0.4">
      <c r="A6" t="s">
        <v>411</v>
      </c>
      <c r="B6" t="s">
        <v>412</v>
      </c>
      <c r="C6" t="s">
        <v>11</v>
      </c>
      <c r="D6" t="s">
        <v>413</v>
      </c>
      <c r="E6" t="s">
        <v>414</v>
      </c>
      <c r="F6" t="s">
        <v>415</v>
      </c>
      <c r="G6" t="b">
        <v>0</v>
      </c>
      <c r="H6" t="s">
        <v>416</v>
      </c>
      <c r="I6" t="s">
        <v>417</v>
      </c>
      <c r="J6" t="s">
        <v>411</v>
      </c>
      <c r="L6" s="3" t="s">
        <v>646</v>
      </c>
    </row>
    <row r="7" spans="1:12" x14ac:dyDescent="0.4">
      <c r="A7" t="s">
        <v>418</v>
      </c>
      <c r="B7" t="s">
        <v>419</v>
      </c>
      <c r="C7" t="s">
        <v>79</v>
      </c>
      <c r="D7" t="s">
        <v>420</v>
      </c>
      <c r="E7" t="s">
        <v>421</v>
      </c>
      <c r="F7" t="s">
        <v>415</v>
      </c>
      <c r="G7" t="b">
        <v>0</v>
      </c>
      <c r="H7" t="s">
        <v>422</v>
      </c>
      <c r="I7" t="s">
        <v>423</v>
      </c>
      <c r="J7" t="s">
        <v>418</v>
      </c>
      <c r="L7" s="3" t="s">
        <v>646</v>
      </c>
    </row>
    <row r="8" spans="1:12" x14ac:dyDescent="0.4">
      <c r="A8" t="s">
        <v>199</v>
      </c>
      <c r="B8" t="s">
        <v>200</v>
      </c>
      <c r="C8" t="s">
        <v>11</v>
      </c>
      <c r="D8" t="s">
        <v>201</v>
      </c>
      <c r="E8" t="s">
        <v>202</v>
      </c>
      <c r="F8" t="s">
        <v>203</v>
      </c>
      <c r="G8" t="b">
        <v>0</v>
      </c>
      <c r="H8" t="s">
        <v>204</v>
      </c>
      <c r="I8" t="s">
        <v>205</v>
      </c>
      <c r="J8" t="s">
        <v>199</v>
      </c>
      <c r="L8" s="3" t="s">
        <v>646</v>
      </c>
    </row>
    <row r="9" spans="1:12" x14ac:dyDescent="0.4">
      <c r="A9" t="s">
        <v>238</v>
      </c>
      <c r="B9" t="s">
        <v>239</v>
      </c>
      <c r="C9" t="s">
        <v>11</v>
      </c>
      <c r="D9" t="s">
        <v>240</v>
      </c>
      <c r="E9" t="s">
        <v>241</v>
      </c>
      <c r="F9" t="s">
        <v>242</v>
      </c>
      <c r="G9" t="b">
        <v>1</v>
      </c>
      <c r="H9" t="s">
        <v>243</v>
      </c>
      <c r="I9" t="s">
        <v>244</v>
      </c>
      <c r="J9" t="s">
        <v>238</v>
      </c>
      <c r="K9">
        <v>1</v>
      </c>
      <c r="L9" s="3" t="s">
        <v>646</v>
      </c>
    </row>
    <row r="10" spans="1:12" x14ac:dyDescent="0.4">
      <c r="A10" t="s">
        <v>232</v>
      </c>
      <c r="B10" t="s">
        <v>233</v>
      </c>
      <c r="C10" t="s">
        <v>11</v>
      </c>
      <c r="D10" t="s">
        <v>234</v>
      </c>
      <c r="E10" t="s">
        <v>235</v>
      </c>
      <c r="F10" t="s">
        <v>216</v>
      </c>
      <c r="G10" t="b">
        <v>1</v>
      </c>
      <c r="H10" t="s">
        <v>236</v>
      </c>
      <c r="I10" t="s">
        <v>237</v>
      </c>
      <c r="J10" t="s">
        <v>232</v>
      </c>
      <c r="L10" s="3" t="s">
        <v>646</v>
      </c>
    </row>
    <row r="11" spans="1:12" x14ac:dyDescent="0.4">
      <c r="A11" t="s">
        <v>9</v>
      </c>
      <c r="B11" t="s">
        <v>10</v>
      </c>
      <c r="C11" t="s">
        <v>11</v>
      </c>
      <c r="D11" t="s">
        <v>12</v>
      </c>
      <c r="E11" t="s">
        <v>13</v>
      </c>
      <c r="F11" t="s">
        <v>14</v>
      </c>
      <c r="G11" t="b">
        <v>0</v>
      </c>
      <c r="H11" t="s">
        <v>16</v>
      </c>
      <c r="I11" t="s">
        <v>17</v>
      </c>
      <c r="J11" t="s">
        <v>9</v>
      </c>
      <c r="L11" s="3" t="s">
        <v>646</v>
      </c>
    </row>
    <row r="12" spans="1:12" x14ac:dyDescent="0.4">
      <c r="A12" t="s">
        <v>18</v>
      </c>
      <c r="B12" t="s">
        <v>19</v>
      </c>
      <c r="C12" t="s">
        <v>11</v>
      </c>
      <c r="D12" t="s">
        <v>20</v>
      </c>
      <c r="E12" t="s">
        <v>21</v>
      </c>
      <c r="F12" t="s">
        <v>22</v>
      </c>
      <c r="G12" t="b">
        <v>0</v>
      </c>
      <c r="H12" t="s">
        <v>23</v>
      </c>
      <c r="I12" t="s">
        <v>24</v>
      </c>
      <c r="J12" t="s">
        <v>18</v>
      </c>
      <c r="L12" s="3" t="s">
        <v>646</v>
      </c>
    </row>
    <row r="13" spans="1:12" x14ac:dyDescent="0.4">
      <c r="A13" t="s">
        <v>652</v>
      </c>
      <c r="B13" t="s">
        <v>26</v>
      </c>
      <c r="C13" t="s">
        <v>11</v>
      </c>
      <c r="D13" t="s">
        <v>27</v>
      </c>
      <c r="E13" t="s">
        <v>28</v>
      </c>
      <c r="F13" t="s">
        <v>22</v>
      </c>
      <c r="G13" t="b">
        <v>0</v>
      </c>
      <c r="H13" t="s">
        <v>29</v>
      </c>
      <c r="I13" t="s">
        <v>30</v>
      </c>
      <c r="J13" t="s">
        <v>652</v>
      </c>
      <c r="L13" s="3" t="s">
        <v>646</v>
      </c>
    </row>
    <row r="14" spans="1:12" x14ac:dyDescent="0.4">
      <c r="A14" t="s">
        <v>663</v>
      </c>
      <c r="B14" t="s">
        <v>664</v>
      </c>
      <c r="C14" t="s">
        <v>663</v>
      </c>
      <c r="D14" t="s">
        <v>665</v>
      </c>
      <c r="E14" t="s">
        <v>666</v>
      </c>
      <c r="F14" t="s">
        <v>14</v>
      </c>
      <c r="G14" t="b">
        <v>0</v>
      </c>
      <c r="H14" t="s">
        <v>667</v>
      </c>
      <c r="I14" t="s">
        <v>668</v>
      </c>
      <c r="J14" t="s">
        <v>663</v>
      </c>
      <c r="K14">
        <v>2</v>
      </c>
      <c r="L14" s="3"/>
    </row>
    <row r="15" spans="1:12" x14ac:dyDescent="0.4">
      <c r="A15" t="s">
        <v>52</v>
      </c>
      <c r="B15" t="s">
        <v>53</v>
      </c>
      <c r="C15" t="s">
        <v>11</v>
      </c>
      <c r="D15" t="s">
        <v>54</v>
      </c>
      <c r="E15" t="s">
        <v>55</v>
      </c>
      <c r="F15" t="s">
        <v>49</v>
      </c>
      <c r="G15" t="b">
        <v>0</v>
      </c>
      <c r="H15" t="s">
        <v>56</v>
      </c>
      <c r="I15" t="s">
        <v>57</v>
      </c>
      <c r="J15" t="s">
        <v>52</v>
      </c>
      <c r="L15" s="3" t="s">
        <v>646</v>
      </c>
    </row>
    <row r="16" spans="1:12" x14ac:dyDescent="0.4">
      <c r="A16" t="s">
        <v>84</v>
      </c>
      <c r="B16" t="s">
        <v>85</v>
      </c>
      <c r="C16" t="s">
        <v>11</v>
      </c>
      <c r="D16" t="s">
        <v>86</v>
      </c>
      <c r="E16" t="s">
        <v>87</v>
      </c>
      <c r="F16" t="s">
        <v>88</v>
      </c>
      <c r="G16" t="b">
        <v>1</v>
      </c>
      <c r="H16" t="s">
        <v>90</v>
      </c>
      <c r="I16" t="s">
        <v>91</v>
      </c>
      <c r="J16" t="s">
        <v>84</v>
      </c>
      <c r="K16">
        <v>1</v>
      </c>
      <c r="L16" s="4" t="s">
        <v>647</v>
      </c>
    </row>
    <row r="17" spans="1:12" x14ac:dyDescent="0.4">
      <c r="A17" t="s">
        <v>92</v>
      </c>
      <c r="B17" t="s">
        <v>93</v>
      </c>
      <c r="C17" t="s">
        <v>11</v>
      </c>
      <c r="D17" t="s">
        <v>94</v>
      </c>
      <c r="E17" t="s">
        <v>95</v>
      </c>
      <c r="F17" t="s">
        <v>96</v>
      </c>
      <c r="G17" t="b">
        <v>0</v>
      </c>
      <c r="H17" t="s">
        <v>97</v>
      </c>
      <c r="I17" t="s">
        <v>98</v>
      </c>
      <c r="J17" t="s">
        <v>92</v>
      </c>
      <c r="L17" s="4" t="s">
        <v>647</v>
      </c>
    </row>
    <row r="18" spans="1:12" x14ac:dyDescent="0.4">
      <c r="A18" t="s">
        <v>113</v>
      </c>
      <c r="B18" t="s">
        <v>114</v>
      </c>
      <c r="C18" t="s">
        <v>11</v>
      </c>
      <c r="D18" t="s">
        <v>115</v>
      </c>
      <c r="E18" t="s">
        <v>116</v>
      </c>
      <c r="F18" t="s">
        <v>96</v>
      </c>
      <c r="G18" t="b">
        <v>0</v>
      </c>
      <c r="H18" t="s">
        <v>117</v>
      </c>
      <c r="I18" t="s">
        <v>118</v>
      </c>
      <c r="J18" t="s">
        <v>113</v>
      </c>
      <c r="L18" s="4" t="s">
        <v>647</v>
      </c>
    </row>
    <row r="19" spans="1:12" x14ac:dyDescent="0.4">
      <c r="A19" t="s">
        <v>125</v>
      </c>
      <c r="B19" t="s">
        <v>126</v>
      </c>
      <c r="C19" t="s">
        <v>11</v>
      </c>
      <c r="D19" t="s">
        <v>127</v>
      </c>
      <c r="E19" t="s">
        <v>128</v>
      </c>
      <c r="F19" t="s">
        <v>129</v>
      </c>
      <c r="G19" t="b">
        <v>0</v>
      </c>
      <c r="H19" t="s">
        <v>130</v>
      </c>
      <c r="I19" t="s">
        <v>131</v>
      </c>
      <c r="J19" t="s">
        <v>125</v>
      </c>
      <c r="L19" s="4" t="s">
        <v>647</v>
      </c>
    </row>
    <row r="20" spans="1:12" x14ac:dyDescent="0.4">
      <c r="A20" t="s">
        <v>632</v>
      </c>
      <c r="B20" t="s">
        <v>633</v>
      </c>
      <c r="C20" t="s">
        <v>486</v>
      </c>
      <c r="D20" t="s">
        <v>634</v>
      </c>
      <c r="E20" t="s">
        <v>635</v>
      </c>
      <c r="F20" t="s">
        <v>636</v>
      </c>
      <c r="G20" t="b">
        <v>0</v>
      </c>
      <c r="H20" t="s">
        <v>637</v>
      </c>
      <c r="I20" t="s">
        <v>638</v>
      </c>
      <c r="J20" t="s">
        <v>632</v>
      </c>
      <c r="L20" s="5" t="s">
        <v>648</v>
      </c>
    </row>
    <row r="21" spans="1:12" x14ac:dyDescent="0.4">
      <c r="A21" t="s">
        <v>397</v>
      </c>
      <c r="B21" t="s">
        <v>398</v>
      </c>
      <c r="C21" t="s">
        <v>11</v>
      </c>
      <c r="D21" t="s">
        <v>399</v>
      </c>
      <c r="E21" t="s">
        <v>400</v>
      </c>
      <c r="F21" t="s">
        <v>401</v>
      </c>
      <c r="G21" t="b">
        <v>0</v>
      </c>
      <c r="H21" t="s">
        <v>402</v>
      </c>
      <c r="I21" t="s">
        <v>403</v>
      </c>
      <c r="J21" t="s">
        <v>397</v>
      </c>
      <c r="L21" s="3" t="s">
        <v>646</v>
      </c>
    </row>
    <row r="22" spans="1:12" x14ac:dyDescent="0.4">
      <c r="A22" t="s">
        <v>275</v>
      </c>
      <c r="B22" t="s">
        <v>276</v>
      </c>
      <c r="C22" t="s">
        <v>11</v>
      </c>
      <c r="D22" t="s">
        <v>277</v>
      </c>
      <c r="E22" t="s">
        <v>278</v>
      </c>
      <c r="F22" t="s">
        <v>49</v>
      </c>
      <c r="G22" t="b">
        <v>0</v>
      </c>
      <c r="H22" t="s">
        <v>279</v>
      </c>
      <c r="I22" t="s">
        <v>280</v>
      </c>
      <c r="J22" t="s">
        <v>275</v>
      </c>
      <c r="L22" s="4" t="s">
        <v>647</v>
      </c>
    </row>
    <row r="23" spans="1:12" x14ac:dyDescent="0.4">
      <c r="A23" t="s">
        <v>572</v>
      </c>
      <c r="B23" t="s">
        <v>573</v>
      </c>
      <c r="C23" t="s">
        <v>486</v>
      </c>
      <c r="D23" t="s">
        <v>574</v>
      </c>
      <c r="E23" t="s">
        <v>575</v>
      </c>
      <c r="F23" t="s">
        <v>489</v>
      </c>
      <c r="G23" t="b">
        <v>0</v>
      </c>
      <c r="H23" t="s">
        <v>576</v>
      </c>
      <c r="I23" t="s">
        <v>577</v>
      </c>
      <c r="J23" t="s">
        <v>572</v>
      </c>
      <c r="L23" s="3" t="s">
        <v>646</v>
      </c>
    </row>
    <row r="24" spans="1:12" x14ac:dyDescent="0.4">
      <c r="A24" t="s">
        <v>132</v>
      </c>
      <c r="B24" t="s">
        <v>133</v>
      </c>
      <c r="C24" t="s">
        <v>11</v>
      </c>
      <c r="D24" t="s">
        <v>134</v>
      </c>
      <c r="E24" t="s">
        <v>135</v>
      </c>
      <c r="F24" t="s">
        <v>136</v>
      </c>
      <c r="G24" t="b">
        <v>0</v>
      </c>
      <c r="H24" t="s">
        <v>137</v>
      </c>
      <c r="I24" t="s">
        <v>138</v>
      </c>
      <c r="J24" t="s">
        <v>132</v>
      </c>
      <c r="K24" s="11">
        <v>1</v>
      </c>
      <c r="L24" s="3"/>
    </row>
    <row r="25" spans="1:12" x14ac:dyDescent="0.4">
      <c r="A25" t="s">
        <v>31</v>
      </c>
      <c r="B25" t="s">
        <v>32</v>
      </c>
      <c r="C25" t="s">
        <v>11</v>
      </c>
      <c r="D25" t="s">
        <v>33</v>
      </c>
      <c r="E25" t="s">
        <v>34</v>
      </c>
      <c r="F25" t="s">
        <v>35</v>
      </c>
      <c r="G25" t="b">
        <v>0</v>
      </c>
      <c r="H25" t="s">
        <v>36</v>
      </c>
      <c r="I25" t="s">
        <v>37</v>
      </c>
      <c r="J25" t="s">
        <v>31</v>
      </c>
      <c r="K25" s="11">
        <v>1</v>
      </c>
      <c r="L25" s="3"/>
    </row>
    <row r="26" spans="1:12" x14ac:dyDescent="0.4">
      <c r="A26" t="s">
        <v>484</v>
      </c>
      <c r="B26" t="s">
        <v>485</v>
      </c>
      <c r="C26" t="s">
        <v>486</v>
      </c>
      <c r="D26" t="s">
        <v>487</v>
      </c>
      <c r="E26" t="s">
        <v>488</v>
      </c>
      <c r="F26" t="s">
        <v>489</v>
      </c>
      <c r="G26" t="b">
        <v>0</v>
      </c>
      <c r="H26" t="s">
        <v>490</v>
      </c>
      <c r="I26" t="s">
        <v>491</v>
      </c>
      <c r="J26" t="s">
        <v>484</v>
      </c>
      <c r="K26" s="15"/>
      <c r="L26" s="4" t="s">
        <v>647</v>
      </c>
    </row>
    <row r="27" spans="1:12" x14ac:dyDescent="0.4">
      <c r="K27" s="15"/>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54750-5CA5-456E-A82D-72B9734A8993}">
  <dimension ref="A1:L21"/>
  <sheetViews>
    <sheetView topLeftCell="F1" workbookViewId="0">
      <pane ySplit="1" topLeftCell="A2" activePane="bottomLeft" state="frozen"/>
      <selection pane="bottomLeft" activeCell="K5" sqref="K5"/>
    </sheetView>
  </sheetViews>
  <sheetFormatPr baseColWidth="10" defaultRowHeight="14.6" x14ac:dyDescent="0.4"/>
  <cols>
    <col min="1" max="1" width="25.4609375" bestFit="1" customWidth="1"/>
    <col min="2" max="2" width="18.4609375" bestFit="1" customWidth="1"/>
    <col min="3" max="3" width="6.765625" bestFit="1" customWidth="1"/>
    <col min="4" max="4" width="234.3046875" bestFit="1" customWidth="1"/>
    <col min="5" max="5" width="138.23046875" bestFit="1" customWidth="1"/>
    <col min="6" max="6" width="19.23046875" bestFit="1" customWidth="1"/>
    <col min="7" max="7" width="7.765625" bestFit="1" customWidth="1"/>
    <col min="8" max="8" width="22.53515625" bestFit="1" customWidth="1"/>
    <col min="9" max="9" width="20.07421875" bestFit="1" customWidth="1"/>
    <col min="10" max="10" width="25.4609375" bestFit="1" customWidth="1"/>
    <col min="11" max="11" width="25.4609375" customWidth="1"/>
    <col min="12" max="12" width="11" bestFit="1" customWidth="1"/>
  </cols>
  <sheetData>
    <row r="1" spans="1:12" x14ac:dyDescent="0.4">
      <c r="A1" s="14" t="s">
        <v>0</v>
      </c>
      <c r="B1" s="14" t="s">
        <v>1</v>
      </c>
      <c r="C1" s="14" t="s">
        <v>2</v>
      </c>
      <c r="D1" s="14" t="s">
        <v>3</v>
      </c>
      <c r="E1" s="14" t="s">
        <v>4</v>
      </c>
      <c r="F1" s="14" t="s">
        <v>5</v>
      </c>
      <c r="G1" s="14" t="s">
        <v>6</v>
      </c>
      <c r="H1" s="14" t="s">
        <v>7</v>
      </c>
      <c r="I1" s="14" t="s">
        <v>8</v>
      </c>
      <c r="J1" s="14" t="s">
        <v>0</v>
      </c>
      <c r="K1" s="14" t="s">
        <v>645</v>
      </c>
      <c r="L1" s="14" t="s">
        <v>645</v>
      </c>
    </row>
    <row r="2" spans="1:12" x14ac:dyDescent="0.4">
      <c r="A2" t="s">
        <v>441</v>
      </c>
      <c r="B2" t="s">
        <v>442</v>
      </c>
      <c r="C2" t="s">
        <v>11</v>
      </c>
      <c r="D2" t="s">
        <v>443</v>
      </c>
      <c r="E2" t="s">
        <v>444</v>
      </c>
      <c r="F2" t="s">
        <v>88</v>
      </c>
      <c r="G2" t="b">
        <v>1</v>
      </c>
      <c r="H2" t="s">
        <v>445</v>
      </c>
      <c r="I2" t="s">
        <v>446</v>
      </c>
      <c r="J2" t="s">
        <v>441</v>
      </c>
      <c r="K2">
        <v>1</v>
      </c>
      <c r="L2" s="5" t="s">
        <v>648</v>
      </c>
    </row>
    <row r="3" spans="1:12" x14ac:dyDescent="0.4">
      <c r="A3" t="s">
        <v>9</v>
      </c>
      <c r="B3" t="s">
        <v>10</v>
      </c>
      <c r="C3" t="s">
        <v>11</v>
      </c>
      <c r="D3" t="s">
        <v>12</v>
      </c>
      <c r="E3" t="s">
        <v>13</v>
      </c>
      <c r="F3" t="s">
        <v>14</v>
      </c>
      <c r="G3" t="b">
        <v>0</v>
      </c>
      <c r="H3" t="s">
        <v>16</v>
      </c>
      <c r="I3" t="s">
        <v>17</v>
      </c>
      <c r="J3" t="s">
        <v>9</v>
      </c>
      <c r="K3">
        <v>2</v>
      </c>
      <c r="L3" s="5" t="s">
        <v>648</v>
      </c>
    </row>
    <row r="4" spans="1:12" x14ac:dyDescent="0.4">
      <c r="A4" t="s">
        <v>652</v>
      </c>
      <c r="B4" t="s">
        <v>26</v>
      </c>
      <c r="C4" t="s">
        <v>11</v>
      </c>
      <c r="D4" t="s">
        <v>27</v>
      </c>
      <c r="E4" t="s">
        <v>28</v>
      </c>
      <c r="F4" t="s">
        <v>22</v>
      </c>
      <c r="G4" t="b">
        <v>0</v>
      </c>
      <c r="H4" t="s">
        <v>29</v>
      </c>
      <c r="I4" t="s">
        <v>30</v>
      </c>
      <c r="J4" t="s">
        <v>652</v>
      </c>
      <c r="L4" s="5" t="s">
        <v>648</v>
      </c>
    </row>
    <row r="5" spans="1:12" x14ac:dyDescent="0.4">
      <c r="A5" t="s">
        <v>663</v>
      </c>
      <c r="B5" t="s">
        <v>664</v>
      </c>
      <c r="C5" t="s">
        <v>663</v>
      </c>
      <c r="D5" t="s">
        <v>665</v>
      </c>
      <c r="E5" t="s">
        <v>666</v>
      </c>
      <c r="F5" t="s">
        <v>14</v>
      </c>
      <c r="G5" t="b">
        <v>0</v>
      </c>
      <c r="H5" t="s">
        <v>667</v>
      </c>
      <c r="I5" t="s">
        <v>668</v>
      </c>
      <c r="J5" t="s">
        <v>663</v>
      </c>
      <c r="K5">
        <v>3</v>
      </c>
      <c r="L5" s="5" t="s">
        <v>648</v>
      </c>
    </row>
    <row r="6" spans="1:12" x14ac:dyDescent="0.4">
      <c r="A6" t="s">
        <v>52</v>
      </c>
      <c r="B6" t="s">
        <v>53</v>
      </c>
      <c r="C6" t="s">
        <v>11</v>
      </c>
      <c r="D6" t="s">
        <v>54</v>
      </c>
      <c r="E6" t="s">
        <v>55</v>
      </c>
      <c r="F6" t="s">
        <v>49</v>
      </c>
      <c r="G6" t="b">
        <v>0</v>
      </c>
      <c r="H6" t="s">
        <v>56</v>
      </c>
      <c r="I6" t="s">
        <v>57</v>
      </c>
      <c r="J6" t="s">
        <v>52</v>
      </c>
      <c r="L6" s="5" t="s">
        <v>648</v>
      </c>
    </row>
    <row r="7" spans="1:12" x14ac:dyDescent="0.4">
      <c r="A7" t="s">
        <v>45</v>
      </c>
      <c r="B7" t="s">
        <v>46</v>
      </c>
      <c r="C7" t="s">
        <v>11</v>
      </c>
      <c r="D7" t="s">
        <v>47</v>
      </c>
      <c r="E7" t="s">
        <v>48</v>
      </c>
      <c r="F7" t="s">
        <v>49</v>
      </c>
      <c r="G7" t="b">
        <v>0</v>
      </c>
      <c r="H7" t="s">
        <v>50</v>
      </c>
      <c r="I7" t="s">
        <v>51</v>
      </c>
      <c r="J7" t="s">
        <v>45</v>
      </c>
      <c r="L7" s="3" t="s">
        <v>646</v>
      </c>
    </row>
    <row r="8" spans="1:12" x14ac:dyDescent="0.4">
      <c r="A8" t="s">
        <v>71</v>
      </c>
      <c r="B8" t="s">
        <v>72</v>
      </c>
      <c r="C8" t="s">
        <v>11</v>
      </c>
      <c r="D8" t="s">
        <v>73</v>
      </c>
      <c r="E8" t="s">
        <v>74</v>
      </c>
      <c r="F8" t="s">
        <v>49</v>
      </c>
      <c r="G8" t="b">
        <v>0</v>
      </c>
      <c r="H8" t="s">
        <v>75</v>
      </c>
      <c r="I8" t="s">
        <v>76</v>
      </c>
      <c r="J8" t="s">
        <v>71</v>
      </c>
      <c r="L8" s="3" t="s">
        <v>646</v>
      </c>
    </row>
    <row r="9" spans="1:12" x14ac:dyDescent="0.4">
      <c r="A9" t="s">
        <v>77</v>
      </c>
      <c r="B9" t="s">
        <v>78</v>
      </c>
      <c r="C9" t="s">
        <v>79</v>
      </c>
      <c r="D9" t="s">
        <v>80</v>
      </c>
      <c r="E9" t="s">
        <v>81</v>
      </c>
      <c r="F9" t="s">
        <v>49</v>
      </c>
      <c r="G9" t="b">
        <v>0</v>
      </c>
      <c r="H9" t="s">
        <v>82</v>
      </c>
      <c r="I9" t="s">
        <v>83</v>
      </c>
      <c r="J9" t="s">
        <v>77</v>
      </c>
      <c r="L9" s="3" t="s">
        <v>646</v>
      </c>
    </row>
    <row r="10" spans="1:12" x14ac:dyDescent="0.4">
      <c r="A10" t="s">
        <v>84</v>
      </c>
      <c r="B10" t="s">
        <v>85</v>
      </c>
      <c r="C10" t="s">
        <v>11</v>
      </c>
      <c r="D10" t="s">
        <v>86</v>
      </c>
      <c r="E10" t="s">
        <v>87</v>
      </c>
      <c r="F10" t="s">
        <v>88</v>
      </c>
      <c r="G10" t="b">
        <v>1</v>
      </c>
      <c r="H10" t="s">
        <v>90</v>
      </c>
      <c r="I10" t="s">
        <v>91</v>
      </c>
      <c r="J10" t="s">
        <v>84</v>
      </c>
      <c r="K10">
        <v>1</v>
      </c>
      <c r="L10" s="3" t="s">
        <v>646</v>
      </c>
    </row>
    <row r="11" spans="1:12" x14ac:dyDescent="0.4">
      <c r="A11" t="s">
        <v>18</v>
      </c>
      <c r="B11" t="s">
        <v>19</v>
      </c>
      <c r="C11" t="s">
        <v>11</v>
      </c>
      <c r="D11" t="s">
        <v>20</v>
      </c>
      <c r="E11" t="s">
        <v>21</v>
      </c>
      <c r="F11" t="s">
        <v>22</v>
      </c>
      <c r="G11" t="b">
        <v>0</v>
      </c>
      <c r="H11" t="s">
        <v>23</v>
      </c>
      <c r="I11" t="s">
        <v>24</v>
      </c>
      <c r="J11" t="s">
        <v>18</v>
      </c>
      <c r="L11" s="3" t="s">
        <v>646</v>
      </c>
    </row>
    <row r="12" spans="1:12" x14ac:dyDescent="0.4">
      <c r="A12" t="s">
        <v>212</v>
      </c>
      <c r="B12" t="s">
        <v>213</v>
      </c>
      <c r="C12" t="s">
        <v>11</v>
      </c>
      <c r="D12" t="s">
        <v>214</v>
      </c>
      <c r="E12" t="s">
        <v>215</v>
      </c>
      <c r="F12" t="s">
        <v>216</v>
      </c>
      <c r="G12" t="b">
        <v>0</v>
      </c>
      <c r="H12" t="s">
        <v>217</v>
      </c>
      <c r="I12" t="s">
        <v>218</v>
      </c>
      <c r="J12" t="s">
        <v>212</v>
      </c>
      <c r="K12">
        <v>1</v>
      </c>
      <c r="L12" s="3" t="s">
        <v>646</v>
      </c>
    </row>
    <row r="13" spans="1:12" x14ac:dyDescent="0.4">
      <c r="A13" t="s">
        <v>219</v>
      </c>
      <c r="B13" t="s">
        <v>220</v>
      </c>
      <c r="C13" t="s">
        <v>79</v>
      </c>
      <c r="D13" t="s">
        <v>221</v>
      </c>
      <c r="E13" t="s">
        <v>222</v>
      </c>
      <c r="F13" t="s">
        <v>223</v>
      </c>
      <c r="G13" t="b">
        <v>0</v>
      </c>
      <c r="H13" t="s">
        <v>224</v>
      </c>
      <c r="I13" t="s">
        <v>225</v>
      </c>
      <c r="J13" t="s">
        <v>219</v>
      </c>
      <c r="K13">
        <v>1</v>
      </c>
      <c r="L13" s="4" t="s">
        <v>647</v>
      </c>
    </row>
    <row r="14" spans="1:12" x14ac:dyDescent="0.4">
      <c r="A14" t="s">
        <v>252</v>
      </c>
      <c r="B14" t="s">
        <v>253</v>
      </c>
      <c r="C14" t="s">
        <v>11</v>
      </c>
      <c r="D14" t="s">
        <v>254</v>
      </c>
      <c r="E14" t="s">
        <v>255</v>
      </c>
      <c r="F14" t="s">
        <v>49</v>
      </c>
      <c r="G14" t="b">
        <v>0</v>
      </c>
      <c r="H14" t="s">
        <v>256</v>
      </c>
      <c r="I14" t="s">
        <v>257</v>
      </c>
      <c r="J14" t="s">
        <v>252</v>
      </c>
      <c r="L14" s="3" t="s">
        <v>646</v>
      </c>
    </row>
    <row r="15" spans="1:12" x14ac:dyDescent="0.4">
      <c r="A15" t="s">
        <v>275</v>
      </c>
      <c r="B15" t="s">
        <v>276</v>
      </c>
      <c r="C15" t="s">
        <v>11</v>
      </c>
      <c r="D15" t="s">
        <v>277</v>
      </c>
      <c r="E15" t="s">
        <v>278</v>
      </c>
      <c r="F15" t="s">
        <v>49</v>
      </c>
      <c r="G15" t="b">
        <v>0</v>
      </c>
      <c r="H15" t="s">
        <v>279</v>
      </c>
      <c r="I15" t="s">
        <v>280</v>
      </c>
      <c r="J15" t="s">
        <v>275</v>
      </c>
      <c r="K15">
        <v>1</v>
      </c>
      <c r="L15" s="3" t="s">
        <v>646</v>
      </c>
    </row>
    <row r="16" spans="1:12" x14ac:dyDescent="0.4">
      <c r="A16" t="s">
        <v>199</v>
      </c>
      <c r="B16" t="s">
        <v>200</v>
      </c>
      <c r="C16" t="s">
        <v>11</v>
      </c>
      <c r="D16" t="s">
        <v>201</v>
      </c>
      <c r="E16" t="s">
        <v>202</v>
      </c>
      <c r="F16" t="s">
        <v>203</v>
      </c>
      <c r="G16" t="b">
        <v>0</v>
      </c>
      <c r="H16" t="s">
        <v>204</v>
      </c>
      <c r="I16" t="s">
        <v>205</v>
      </c>
      <c r="J16" t="s">
        <v>199</v>
      </c>
      <c r="L16" s="4" t="s">
        <v>647</v>
      </c>
    </row>
    <row r="17" spans="1:12" x14ac:dyDescent="0.4">
      <c r="A17" t="s">
        <v>238</v>
      </c>
      <c r="B17" t="s">
        <v>239</v>
      </c>
      <c r="C17" t="s">
        <v>11</v>
      </c>
      <c r="D17" t="s">
        <v>240</v>
      </c>
      <c r="E17" t="s">
        <v>241</v>
      </c>
      <c r="F17" t="s">
        <v>242</v>
      </c>
      <c r="G17" t="b">
        <v>1</v>
      </c>
      <c r="H17" t="s">
        <v>243</v>
      </c>
      <c r="I17" t="s">
        <v>244</v>
      </c>
      <c r="J17" t="s">
        <v>238</v>
      </c>
      <c r="L17" s="4" t="s">
        <v>647</v>
      </c>
    </row>
    <row r="18" spans="1:12" x14ac:dyDescent="0.4">
      <c r="A18" t="s">
        <v>92</v>
      </c>
      <c r="B18" t="s">
        <v>93</v>
      </c>
      <c r="C18" t="s">
        <v>11</v>
      </c>
      <c r="D18" t="s">
        <v>94</v>
      </c>
      <c r="E18" t="s">
        <v>95</v>
      </c>
      <c r="F18" t="s">
        <v>96</v>
      </c>
      <c r="G18" t="b">
        <v>0</v>
      </c>
      <c r="H18" t="s">
        <v>97</v>
      </c>
      <c r="I18" t="s">
        <v>98</v>
      </c>
      <c r="J18" t="s">
        <v>92</v>
      </c>
      <c r="L18" s="4" t="s">
        <v>647</v>
      </c>
    </row>
    <row r="19" spans="1:12" x14ac:dyDescent="0.4">
      <c r="A19" t="s">
        <v>31</v>
      </c>
      <c r="B19" t="s">
        <v>32</v>
      </c>
      <c r="C19" t="s">
        <v>11</v>
      </c>
      <c r="D19" t="s">
        <v>33</v>
      </c>
      <c r="E19" t="s">
        <v>34</v>
      </c>
      <c r="F19" t="s">
        <v>35</v>
      </c>
      <c r="G19" t="b">
        <v>0</v>
      </c>
      <c r="H19" t="s">
        <v>36</v>
      </c>
      <c r="I19" t="s">
        <v>37</v>
      </c>
      <c r="J19" t="s">
        <v>31</v>
      </c>
      <c r="K19">
        <v>1</v>
      </c>
      <c r="L19" s="4" t="s">
        <v>647</v>
      </c>
    </row>
    <row r="20" spans="1:12" x14ac:dyDescent="0.4">
      <c r="A20" t="s">
        <v>572</v>
      </c>
      <c r="B20" t="s">
        <v>573</v>
      </c>
      <c r="C20" t="s">
        <v>486</v>
      </c>
      <c r="D20" t="s">
        <v>574</v>
      </c>
      <c r="E20" t="s">
        <v>575</v>
      </c>
      <c r="F20" t="s">
        <v>489</v>
      </c>
      <c r="G20" t="b">
        <v>0</v>
      </c>
      <c r="H20" t="s">
        <v>576</v>
      </c>
      <c r="I20" t="s">
        <v>577</v>
      </c>
      <c r="J20" t="s">
        <v>572</v>
      </c>
      <c r="L20" s="5" t="s">
        <v>648</v>
      </c>
    </row>
    <row r="21" spans="1:12" x14ac:dyDescent="0.4">
      <c r="A21" t="s">
        <v>484</v>
      </c>
      <c r="B21" t="s">
        <v>485</v>
      </c>
      <c r="C21" t="s">
        <v>486</v>
      </c>
      <c r="D21" t="s">
        <v>487</v>
      </c>
      <c r="E21" t="s">
        <v>488</v>
      </c>
      <c r="F21" t="s">
        <v>489</v>
      </c>
      <c r="G21" t="b">
        <v>0</v>
      </c>
      <c r="H21" t="s">
        <v>490</v>
      </c>
      <c r="I21" t="s">
        <v>491</v>
      </c>
      <c r="J21" t="s">
        <v>484</v>
      </c>
      <c r="L21" s="4" t="s">
        <v>647</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E997-BA2B-4364-9356-F7FD6EF5094B}">
  <dimension ref="A1:L24"/>
  <sheetViews>
    <sheetView topLeftCell="F1" workbookViewId="0">
      <pane ySplit="1" topLeftCell="A2" activePane="bottomLeft" state="frozen"/>
      <selection pane="bottomLeft" activeCell="K9" sqref="K9"/>
    </sheetView>
  </sheetViews>
  <sheetFormatPr baseColWidth="10" defaultRowHeight="14.6" x14ac:dyDescent="0.4"/>
  <cols>
    <col min="1" max="1" width="25.4609375" bestFit="1" customWidth="1"/>
    <col min="2" max="2" width="18.4609375" bestFit="1" customWidth="1"/>
    <col min="3" max="3" width="6.765625" bestFit="1" customWidth="1"/>
    <col min="4" max="4" width="234.3046875" bestFit="1" customWidth="1"/>
    <col min="5" max="5" width="128.23046875" bestFit="1" customWidth="1"/>
    <col min="6" max="6" width="20.15234375" bestFit="1" customWidth="1"/>
    <col min="7" max="7" width="7.765625" bestFit="1" customWidth="1"/>
    <col min="8" max="8" width="22.53515625" bestFit="1" customWidth="1"/>
    <col min="9" max="9" width="20.07421875" bestFit="1" customWidth="1"/>
    <col min="10" max="10" width="25.4609375" bestFit="1" customWidth="1"/>
    <col min="11" max="11" width="25.4609375" customWidth="1"/>
    <col min="12" max="12" width="11" bestFit="1" customWidth="1"/>
  </cols>
  <sheetData>
    <row r="1" spans="1:12" x14ac:dyDescent="0.4">
      <c r="A1" s="14" t="s">
        <v>0</v>
      </c>
      <c r="B1" s="14" t="s">
        <v>1</v>
      </c>
      <c r="C1" s="14" t="s">
        <v>2</v>
      </c>
      <c r="D1" s="14" t="s">
        <v>3</v>
      </c>
      <c r="E1" s="14" t="s">
        <v>4</v>
      </c>
      <c r="F1" s="14" t="s">
        <v>5</v>
      </c>
      <c r="G1" s="14" t="s">
        <v>6</v>
      </c>
      <c r="H1" s="14" t="s">
        <v>7</v>
      </c>
      <c r="I1" s="14" t="s">
        <v>8</v>
      </c>
      <c r="J1" s="14" t="s">
        <v>0</v>
      </c>
      <c r="K1" s="14" t="s">
        <v>645</v>
      </c>
      <c r="L1" s="14" t="s">
        <v>645</v>
      </c>
    </row>
    <row r="2" spans="1:12" x14ac:dyDescent="0.4">
      <c r="A2" t="s">
        <v>125</v>
      </c>
      <c r="B2" t="s">
        <v>126</v>
      </c>
      <c r="C2" t="s">
        <v>11</v>
      </c>
      <c r="D2" t="s">
        <v>127</v>
      </c>
      <c r="E2" t="s">
        <v>128</v>
      </c>
      <c r="F2" t="s">
        <v>129</v>
      </c>
      <c r="G2" t="b">
        <v>0</v>
      </c>
      <c r="H2" t="s">
        <v>130</v>
      </c>
      <c r="I2" t="s">
        <v>131</v>
      </c>
      <c r="J2" t="s">
        <v>125</v>
      </c>
      <c r="L2" s="5" t="s">
        <v>648</v>
      </c>
    </row>
    <row r="3" spans="1:12" x14ac:dyDescent="0.4">
      <c r="A3" t="s">
        <v>92</v>
      </c>
      <c r="B3" t="s">
        <v>93</v>
      </c>
      <c r="C3" t="s">
        <v>11</v>
      </c>
      <c r="D3" t="s">
        <v>94</v>
      </c>
      <c r="E3" t="s">
        <v>95</v>
      </c>
      <c r="F3" t="s">
        <v>96</v>
      </c>
      <c r="G3" t="b">
        <v>0</v>
      </c>
      <c r="H3" t="s">
        <v>97</v>
      </c>
      <c r="I3" t="s">
        <v>98</v>
      </c>
      <c r="J3" t="s">
        <v>92</v>
      </c>
      <c r="L3" s="5" t="s">
        <v>648</v>
      </c>
    </row>
    <row r="4" spans="1:12" x14ac:dyDescent="0.4">
      <c r="A4" t="s">
        <v>113</v>
      </c>
      <c r="B4" t="s">
        <v>114</v>
      </c>
      <c r="C4" t="s">
        <v>11</v>
      </c>
      <c r="D4" t="s">
        <v>115</v>
      </c>
      <c r="E4" t="s">
        <v>116</v>
      </c>
      <c r="F4" t="s">
        <v>96</v>
      </c>
      <c r="G4" t="b">
        <v>0</v>
      </c>
      <c r="H4" t="s">
        <v>117</v>
      </c>
      <c r="I4" t="s">
        <v>118</v>
      </c>
      <c r="J4" t="s">
        <v>113</v>
      </c>
      <c r="L4" s="5" t="s">
        <v>648</v>
      </c>
    </row>
    <row r="5" spans="1:12" x14ac:dyDescent="0.4">
      <c r="A5" t="s">
        <v>132</v>
      </c>
      <c r="B5" t="s">
        <v>133</v>
      </c>
      <c r="C5" t="s">
        <v>11</v>
      </c>
      <c r="D5" t="s">
        <v>134</v>
      </c>
      <c r="E5" t="s">
        <v>135</v>
      </c>
      <c r="F5" t="s">
        <v>136</v>
      </c>
      <c r="G5" t="b">
        <v>0</v>
      </c>
      <c r="H5" t="s">
        <v>137</v>
      </c>
      <c r="I5" t="s">
        <v>138</v>
      </c>
      <c r="J5" t="s">
        <v>132</v>
      </c>
      <c r="K5">
        <v>1</v>
      </c>
      <c r="L5" s="5" t="s">
        <v>648</v>
      </c>
    </row>
    <row r="6" spans="1:12" x14ac:dyDescent="0.4">
      <c r="A6" t="s">
        <v>99</v>
      </c>
      <c r="B6" t="s">
        <v>100</v>
      </c>
      <c r="C6" t="s">
        <v>11</v>
      </c>
      <c r="D6" t="s">
        <v>101</v>
      </c>
      <c r="E6" t="s">
        <v>102</v>
      </c>
      <c r="F6" t="s">
        <v>103</v>
      </c>
      <c r="G6" t="b">
        <v>0</v>
      </c>
      <c r="H6" t="s">
        <v>104</v>
      </c>
      <c r="I6" t="s">
        <v>105</v>
      </c>
      <c r="J6" t="s">
        <v>99</v>
      </c>
      <c r="L6" s="3" t="s">
        <v>646</v>
      </c>
    </row>
    <row r="7" spans="1:12" x14ac:dyDescent="0.4">
      <c r="A7" t="s">
        <v>31</v>
      </c>
      <c r="B7" t="s">
        <v>32</v>
      </c>
      <c r="C7" t="s">
        <v>11</v>
      </c>
      <c r="D7" t="s">
        <v>33</v>
      </c>
      <c r="E7" t="s">
        <v>34</v>
      </c>
      <c r="F7" t="s">
        <v>35</v>
      </c>
      <c r="G7" t="b">
        <v>0</v>
      </c>
      <c r="H7" t="s">
        <v>36</v>
      </c>
      <c r="I7" t="s">
        <v>37</v>
      </c>
      <c r="J7" t="s">
        <v>31</v>
      </c>
      <c r="K7">
        <v>1</v>
      </c>
      <c r="L7" s="3" t="s">
        <v>646</v>
      </c>
    </row>
    <row r="8" spans="1:12" x14ac:dyDescent="0.4">
      <c r="A8" t="s">
        <v>38</v>
      </c>
      <c r="B8" t="s">
        <v>39</v>
      </c>
      <c r="C8" t="s">
        <v>11</v>
      </c>
      <c r="D8" t="s">
        <v>40</v>
      </c>
      <c r="E8" t="s">
        <v>41</v>
      </c>
      <c r="F8" t="s">
        <v>42</v>
      </c>
      <c r="G8" t="b">
        <v>0</v>
      </c>
      <c r="H8" t="s">
        <v>43</v>
      </c>
      <c r="I8" t="s">
        <v>44</v>
      </c>
      <c r="J8" t="s">
        <v>38</v>
      </c>
      <c r="K8">
        <v>2</v>
      </c>
      <c r="L8" s="3" t="s">
        <v>646</v>
      </c>
    </row>
    <row r="9" spans="1:12" x14ac:dyDescent="0.4">
      <c r="A9" t="s">
        <v>106</v>
      </c>
      <c r="B9" t="s">
        <v>107</v>
      </c>
      <c r="C9" t="s">
        <v>11</v>
      </c>
      <c r="D9" t="s">
        <v>108</v>
      </c>
      <c r="E9" t="s">
        <v>109</v>
      </c>
      <c r="F9" t="s">
        <v>110</v>
      </c>
      <c r="G9" t="b">
        <v>0</v>
      </c>
      <c r="H9" t="s">
        <v>111</v>
      </c>
      <c r="I9" t="s">
        <v>112</v>
      </c>
      <c r="J9" t="s">
        <v>106</v>
      </c>
      <c r="L9" s="3" t="s">
        <v>646</v>
      </c>
    </row>
    <row r="10" spans="1:12" x14ac:dyDescent="0.4">
      <c r="A10" t="s">
        <v>153</v>
      </c>
      <c r="B10" t="s">
        <v>154</v>
      </c>
      <c r="C10" t="s">
        <v>11</v>
      </c>
      <c r="D10" t="s">
        <v>155</v>
      </c>
      <c r="E10" t="s">
        <v>156</v>
      </c>
      <c r="F10" t="s">
        <v>110</v>
      </c>
      <c r="G10" t="b">
        <v>0</v>
      </c>
      <c r="H10" t="s">
        <v>157</v>
      </c>
      <c r="I10" t="s">
        <v>158</v>
      </c>
      <c r="J10" t="s">
        <v>153</v>
      </c>
      <c r="L10" s="4" t="s">
        <v>647</v>
      </c>
    </row>
    <row r="11" spans="1:12" x14ac:dyDescent="0.4">
      <c r="A11" t="s">
        <v>159</v>
      </c>
      <c r="B11" t="s">
        <v>160</v>
      </c>
      <c r="C11" t="s">
        <v>79</v>
      </c>
      <c r="D11" t="s">
        <v>161</v>
      </c>
      <c r="E11" t="s">
        <v>162</v>
      </c>
      <c r="F11" t="s">
        <v>163</v>
      </c>
      <c r="G11" t="b">
        <v>0</v>
      </c>
      <c r="H11" t="s">
        <v>164</v>
      </c>
      <c r="I11" t="s">
        <v>165</v>
      </c>
      <c r="J11" t="s">
        <v>159</v>
      </c>
      <c r="K11">
        <v>1</v>
      </c>
      <c r="L11" s="4" t="s">
        <v>647</v>
      </c>
    </row>
    <row r="12" spans="1:12" x14ac:dyDescent="0.4">
      <c r="A12" t="s">
        <v>9</v>
      </c>
      <c r="B12" t="s">
        <v>10</v>
      </c>
      <c r="C12" t="s">
        <v>11</v>
      </c>
      <c r="D12" t="s">
        <v>12</v>
      </c>
      <c r="E12" t="s">
        <v>13</v>
      </c>
      <c r="F12" t="s">
        <v>14</v>
      </c>
      <c r="G12" t="b">
        <v>0</v>
      </c>
      <c r="H12" t="s">
        <v>16</v>
      </c>
      <c r="I12" t="s">
        <v>17</v>
      </c>
      <c r="J12" t="s">
        <v>9</v>
      </c>
      <c r="K12">
        <v>1</v>
      </c>
      <c r="L12" s="5" t="s">
        <v>648</v>
      </c>
    </row>
    <row r="13" spans="1:12" x14ac:dyDescent="0.4">
      <c r="A13" t="s">
        <v>652</v>
      </c>
      <c r="B13" t="s">
        <v>26</v>
      </c>
      <c r="C13" t="s">
        <v>11</v>
      </c>
      <c r="D13" t="s">
        <v>27</v>
      </c>
      <c r="E13" t="s">
        <v>28</v>
      </c>
      <c r="F13" t="s">
        <v>22</v>
      </c>
      <c r="G13" t="b">
        <v>0</v>
      </c>
      <c r="H13" t="s">
        <v>29</v>
      </c>
      <c r="I13" t="s">
        <v>30</v>
      </c>
      <c r="J13" t="s">
        <v>652</v>
      </c>
      <c r="L13" s="5" t="s">
        <v>648</v>
      </c>
    </row>
    <row r="14" spans="1:12" x14ac:dyDescent="0.4">
      <c r="A14" t="s">
        <v>663</v>
      </c>
      <c r="B14" t="s">
        <v>664</v>
      </c>
      <c r="C14" t="s">
        <v>663</v>
      </c>
      <c r="D14" t="s">
        <v>665</v>
      </c>
      <c r="E14" t="s">
        <v>666</v>
      </c>
      <c r="F14" t="s">
        <v>14</v>
      </c>
      <c r="G14" t="b">
        <v>0</v>
      </c>
      <c r="H14" t="s">
        <v>667</v>
      </c>
      <c r="I14" t="s">
        <v>668</v>
      </c>
      <c r="J14" t="s">
        <v>663</v>
      </c>
      <c r="K14">
        <v>1</v>
      </c>
      <c r="L14" s="3" t="s">
        <v>646</v>
      </c>
    </row>
    <row r="15" spans="1:12" x14ac:dyDescent="0.4">
      <c r="A15" t="s">
        <v>52</v>
      </c>
      <c r="B15" t="s">
        <v>53</v>
      </c>
      <c r="C15" t="s">
        <v>11</v>
      </c>
      <c r="D15" t="s">
        <v>54</v>
      </c>
      <c r="E15" t="s">
        <v>55</v>
      </c>
      <c r="F15" t="s">
        <v>49</v>
      </c>
      <c r="G15" t="b">
        <v>0</v>
      </c>
      <c r="H15" t="s">
        <v>56</v>
      </c>
      <c r="I15" t="s">
        <v>57</v>
      </c>
      <c r="J15" t="s">
        <v>52</v>
      </c>
      <c r="L15" s="3" t="s">
        <v>646</v>
      </c>
    </row>
    <row r="16" spans="1:12" x14ac:dyDescent="0.4">
      <c r="A16" t="s">
        <v>18</v>
      </c>
      <c r="B16" t="s">
        <v>19</v>
      </c>
      <c r="C16" t="s">
        <v>11</v>
      </c>
      <c r="D16" t="s">
        <v>20</v>
      </c>
      <c r="E16" t="s">
        <v>21</v>
      </c>
      <c r="F16" t="s">
        <v>22</v>
      </c>
      <c r="G16" t="b">
        <v>0</v>
      </c>
      <c r="H16" t="s">
        <v>23</v>
      </c>
      <c r="I16" t="s">
        <v>24</v>
      </c>
      <c r="J16" t="s">
        <v>18</v>
      </c>
      <c r="L16" s="3" t="s">
        <v>646</v>
      </c>
    </row>
    <row r="17" spans="1:12" x14ac:dyDescent="0.4">
      <c r="A17" t="s">
        <v>84</v>
      </c>
      <c r="B17" t="s">
        <v>85</v>
      </c>
      <c r="C17" t="s">
        <v>11</v>
      </c>
      <c r="D17" t="s">
        <v>86</v>
      </c>
      <c r="E17" t="s">
        <v>87</v>
      </c>
      <c r="F17" t="s">
        <v>88</v>
      </c>
      <c r="G17" t="b">
        <v>1</v>
      </c>
      <c r="H17" t="s">
        <v>90</v>
      </c>
      <c r="I17" t="s">
        <v>91</v>
      </c>
      <c r="J17" t="s">
        <v>84</v>
      </c>
      <c r="L17" s="4" t="s">
        <v>647</v>
      </c>
    </row>
    <row r="18" spans="1:12" x14ac:dyDescent="0.4">
      <c r="A18" t="s">
        <v>212</v>
      </c>
      <c r="B18" t="s">
        <v>213</v>
      </c>
      <c r="C18" t="s">
        <v>11</v>
      </c>
      <c r="D18" t="s">
        <v>214</v>
      </c>
      <c r="E18" t="s">
        <v>215</v>
      </c>
      <c r="F18" t="s">
        <v>216</v>
      </c>
      <c r="G18" t="b">
        <v>0</v>
      </c>
      <c r="H18" t="s">
        <v>217</v>
      </c>
      <c r="I18" t="s">
        <v>218</v>
      </c>
      <c r="J18" t="s">
        <v>212</v>
      </c>
      <c r="K18">
        <v>1</v>
      </c>
      <c r="L18" s="3" t="s">
        <v>646</v>
      </c>
    </row>
    <row r="19" spans="1:12" x14ac:dyDescent="0.4">
      <c r="A19" t="s">
        <v>219</v>
      </c>
      <c r="B19" t="s">
        <v>220</v>
      </c>
      <c r="C19" t="s">
        <v>79</v>
      </c>
      <c r="D19" t="s">
        <v>221</v>
      </c>
      <c r="E19" t="s">
        <v>222</v>
      </c>
      <c r="F19" t="s">
        <v>223</v>
      </c>
      <c r="G19" t="b">
        <v>0</v>
      </c>
      <c r="H19" t="s">
        <v>224</v>
      </c>
      <c r="I19" t="s">
        <v>225</v>
      </c>
      <c r="J19" t="s">
        <v>219</v>
      </c>
      <c r="K19">
        <v>1</v>
      </c>
      <c r="L19" s="4" t="s">
        <v>647</v>
      </c>
    </row>
    <row r="20" spans="1:12" x14ac:dyDescent="0.4">
      <c r="A20" t="s">
        <v>252</v>
      </c>
      <c r="B20" t="s">
        <v>253</v>
      </c>
      <c r="C20" t="s">
        <v>11</v>
      </c>
      <c r="D20" t="s">
        <v>254</v>
      </c>
      <c r="E20" t="s">
        <v>255</v>
      </c>
      <c r="F20" t="s">
        <v>49</v>
      </c>
      <c r="G20" t="b">
        <v>0</v>
      </c>
      <c r="H20" t="s">
        <v>256</v>
      </c>
      <c r="I20" t="s">
        <v>257</v>
      </c>
      <c r="J20" t="s">
        <v>252</v>
      </c>
      <c r="L20" s="4" t="s">
        <v>647</v>
      </c>
    </row>
    <row r="21" spans="1:12" x14ac:dyDescent="0.4">
      <c r="A21" t="s">
        <v>572</v>
      </c>
      <c r="B21" t="s">
        <v>573</v>
      </c>
      <c r="C21" t="s">
        <v>486</v>
      </c>
      <c r="D21" t="s">
        <v>574</v>
      </c>
      <c r="E21" t="s">
        <v>575</v>
      </c>
      <c r="F21" t="s">
        <v>489</v>
      </c>
      <c r="G21" t="b">
        <v>0</v>
      </c>
      <c r="H21" t="s">
        <v>576</v>
      </c>
      <c r="I21" t="s">
        <v>577</v>
      </c>
      <c r="J21" t="s">
        <v>572</v>
      </c>
      <c r="L21" s="5" t="s">
        <v>648</v>
      </c>
    </row>
    <row r="22" spans="1:12" x14ac:dyDescent="0.4">
      <c r="A22" t="s">
        <v>199</v>
      </c>
      <c r="B22" t="s">
        <v>200</v>
      </c>
      <c r="C22" t="s">
        <v>11</v>
      </c>
      <c r="D22" t="s">
        <v>201</v>
      </c>
      <c r="E22" t="s">
        <v>202</v>
      </c>
      <c r="F22" t="s">
        <v>203</v>
      </c>
      <c r="G22" t="b">
        <v>0</v>
      </c>
      <c r="H22" t="s">
        <v>204</v>
      </c>
      <c r="I22" t="s">
        <v>205</v>
      </c>
      <c r="J22" t="s">
        <v>199</v>
      </c>
      <c r="L22" s="3" t="s">
        <v>646</v>
      </c>
    </row>
    <row r="23" spans="1:12" x14ac:dyDescent="0.4">
      <c r="A23" t="s">
        <v>238</v>
      </c>
      <c r="B23" t="s">
        <v>239</v>
      </c>
      <c r="C23" t="s">
        <v>11</v>
      </c>
      <c r="D23" t="s">
        <v>240</v>
      </c>
      <c r="E23" t="s">
        <v>241</v>
      </c>
      <c r="F23" t="s">
        <v>242</v>
      </c>
      <c r="G23" t="b">
        <v>1</v>
      </c>
      <c r="H23" t="s">
        <v>243</v>
      </c>
      <c r="I23" t="s">
        <v>244</v>
      </c>
      <c r="J23" t="s">
        <v>238</v>
      </c>
      <c r="L23" s="4" t="s">
        <v>647</v>
      </c>
    </row>
    <row r="24" spans="1:12" x14ac:dyDescent="0.4">
      <c r="A24" t="s">
        <v>484</v>
      </c>
      <c r="B24" t="s">
        <v>485</v>
      </c>
      <c r="C24" t="s">
        <v>486</v>
      </c>
      <c r="D24" t="s">
        <v>487</v>
      </c>
      <c r="E24" t="s">
        <v>488</v>
      </c>
      <c r="F24" t="s">
        <v>489</v>
      </c>
      <c r="G24" t="b">
        <v>0</v>
      </c>
      <c r="H24" t="s">
        <v>490</v>
      </c>
      <c r="I24" t="s">
        <v>491</v>
      </c>
      <c r="J24" t="s">
        <v>484</v>
      </c>
      <c r="L24" s="4" t="s">
        <v>647</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D1B75-2941-45B4-9D4B-328BC705F76B}">
  <dimension ref="A1:L22"/>
  <sheetViews>
    <sheetView topLeftCell="F1" workbookViewId="0">
      <pane ySplit="1" topLeftCell="A2" activePane="bottomLeft" state="frozen"/>
      <selection pane="bottomLeft" activeCell="J21" sqref="J21"/>
    </sheetView>
  </sheetViews>
  <sheetFormatPr baseColWidth="10" defaultRowHeight="14.6" x14ac:dyDescent="0.4"/>
  <cols>
    <col min="1" max="1" width="22.921875" bestFit="1" customWidth="1"/>
    <col min="2" max="2" width="18.4609375" bestFit="1" customWidth="1"/>
    <col min="3" max="3" width="6.765625" bestFit="1" customWidth="1"/>
    <col min="4" max="4" width="234.3046875" bestFit="1" customWidth="1"/>
    <col min="5" max="5" width="148.3828125" bestFit="1" customWidth="1"/>
    <col min="6" max="6" width="16.3046875" bestFit="1" customWidth="1"/>
    <col min="7" max="7" width="7.765625" bestFit="1" customWidth="1"/>
    <col min="8" max="8" width="22.53515625" bestFit="1" customWidth="1"/>
    <col min="9" max="9" width="20.07421875" bestFit="1" customWidth="1"/>
    <col min="10" max="10" width="22.921875" bestFit="1" customWidth="1"/>
    <col min="11" max="11" width="22.921875" customWidth="1"/>
    <col min="12" max="12" width="11" bestFit="1" customWidth="1"/>
  </cols>
  <sheetData>
    <row r="1" spans="1:12" x14ac:dyDescent="0.4">
      <c r="A1" s="14" t="s">
        <v>0</v>
      </c>
      <c r="B1" s="14" t="s">
        <v>1</v>
      </c>
      <c r="C1" s="14" t="s">
        <v>2</v>
      </c>
      <c r="D1" s="14" t="s">
        <v>3</v>
      </c>
      <c r="E1" s="14" t="s">
        <v>4</v>
      </c>
      <c r="F1" s="14" t="s">
        <v>5</v>
      </c>
      <c r="G1" s="14" t="s">
        <v>6</v>
      </c>
      <c r="H1" s="14" t="s">
        <v>7</v>
      </c>
      <c r="I1" s="14" t="s">
        <v>8</v>
      </c>
      <c r="J1" s="14" t="s">
        <v>0</v>
      </c>
      <c r="K1" s="14" t="s">
        <v>645</v>
      </c>
      <c r="L1" s="14" t="s">
        <v>645</v>
      </c>
    </row>
    <row r="2" spans="1:12" x14ac:dyDescent="0.4">
      <c r="A2" t="s">
        <v>9</v>
      </c>
      <c r="B2" t="s">
        <v>10</v>
      </c>
      <c r="C2" t="s">
        <v>11</v>
      </c>
      <c r="D2" t="s">
        <v>12</v>
      </c>
      <c r="E2" t="s">
        <v>13</v>
      </c>
      <c r="F2" t="s">
        <v>14</v>
      </c>
      <c r="G2" t="b">
        <v>0</v>
      </c>
      <c r="H2" t="s">
        <v>16</v>
      </c>
      <c r="I2" t="s">
        <v>17</v>
      </c>
      <c r="J2" t="s">
        <v>9</v>
      </c>
      <c r="K2">
        <v>2</v>
      </c>
      <c r="L2" s="5" t="s">
        <v>648</v>
      </c>
    </row>
    <row r="3" spans="1:12" x14ac:dyDescent="0.4">
      <c r="A3" t="s">
        <v>652</v>
      </c>
      <c r="B3" t="s">
        <v>26</v>
      </c>
      <c r="C3" t="s">
        <v>11</v>
      </c>
      <c r="D3" t="s">
        <v>27</v>
      </c>
      <c r="E3" t="s">
        <v>28</v>
      </c>
      <c r="F3" t="s">
        <v>22</v>
      </c>
      <c r="G3" t="b">
        <v>0</v>
      </c>
      <c r="H3" t="s">
        <v>29</v>
      </c>
      <c r="I3" t="s">
        <v>30</v>
      </c>
      <c r="J3" t="s">
        <v>652</v>
      </c>
      <c r="L3" s="5" t="s">
        <v>648</v>
      </c>
    </row>
    <row r="4" spans="1:12" x14ac:dyDescent="0.4">
      <c r="A4" t="s">
        <v>663</v>
      </c>
      <c r="B4" t="s">
        <v>664</v>
      </c>
      <c r="C4" t="s">
        <v>663</v>
      </c>
      <c r="D4" t="s">
        <v>665</v>
      </c>
      <c r="E4" t="s">
        <v>666</v>
      </c>
      <c r="F4" t="s">
        <v>14</v>
      </c>
      <c r="G4" t="b">
        <v>0</v>
      </c>
      <c r="H4" t="s">
        <v>667</v>
      </c>
      <c r="I4" t="s">
        <v>668</v>
      </c>
      <c r="J4" t="s">
        <v>663</v>
      </c>
      <c r="K4">
        <v>4</v>
      </c>
      <c r="L4" s="5" t="s">
        <v>648</v>
      </c>
    </row>
    <row r="5" spans="1:12" x14ac:dyDescent="0.4">
      <c r="A5" t="s">
        <v>52</v>
      </c>
      <c r="B5" t="s">
        <v>53</v>
      </c>
      <c r="C5" t="s">
        <v>11</v>
      </c>
      <c r="D5" t="s">
        <v>54</v>
      </c>
      <c r="E5" t="s">
        <v>55</v>
      </c>
      <c r="F5" t="s">
        <v>49</v>
      </c>
      <c r="G5" t="b">
        <v>0</v>
      </c>
      <c r="H5" t="s">
        <v>56</v>
      </c>
      <c r="I5" t="s">
        <v>57</v>
      </c>
      <c r="J5" t="s">
        <v>52</v>
      </c>
      <c r="L5" s="5" t="s">
        <v>648</v>
      </c>
    </row>
    <row r="6" spans="1:12" x14ac:dyDescent="0.4">
      <c r="A6" t="s">
        <v>77</v>
      </c>
      <c r="B6" t="s">
        <v>78</v>
      </c>
      <c r="C6" t="s">
        <v>79</v>
      </c>
      <c r="D6" t="s">
        <v>80</v>
      </c>
      <c r="E6" t="s">
        <v>81</v>
      </c>
      <c r="F6" t="s">
        <v>49</v>
      </c>
      <c r="G6" t="b">
        <v>0</v>
      </c>
      <c r="H6" t="s">
        <v>82</v>
      </c>
      <c r="I6" t="s">
        <v>83</v>
      </c>
      <c r="J6" t="s">
        <v>77</v>
      </c>
      <c r="K6">
        <v>1</v>
      </c>
      <c r="L6" s="5" t="s">
        <v>648</v>
      </c>
    </row>
    <row r="7" spans="1:12" x14ac:dyDescent="0.4">
      <c r="A7" t="s">
        <v>84</v>
      </c>
      <c r="B7" t="s">
        <v>85</v>
      </c>
      <c r="C7" t="s">
        <v>11</v>
      </c>
      <c r="D7" t="s">
        <v>86</v>
      </c>
      <c r="E7" t="s">
        <v>87</v>
      </c>
      <c r="F7" t="s">
        <v>88</v>
      </c>
      <c r="G7" t="b">
        <v>1</v>
      </c>
      <c r="H7" t="s">
        <v>90</v>
      </c>
      <c r="I7" t="s">
        <v>91</v>
      </c>
      <c r="J7" t="s">
        <v>84</v>
      </c>
      <c r="K7">
        <v>1</v>
      </c>
      <c r="L7" s="5" t="s">
        <v>648</v>
      </c>
    </row>
    <row r="8" spans="1:12" x14ac:dyDescent="0.4">
      <c r="A8" t="s">
        <v>71</v>
      </c>
      <c r="B8" t="s">
        <v>72</v>
      </c>
      <c r="C8" t="s">
        <v>11</v>
      </c>
      <c r="D8" t="s">
        <v>73</v>
      </c>
      <c r="E8" t="s">
        <v>74</v>
      </c>
      <c r="F8" t="s">
        <v>49</v>
      </c>
      <c r="G8" t="b">
        <v>0</v>
      </c>
      <c r="H8" t="s">
        <v>75</v>
      </c>
      <c r="I8" t="s">
        <v>76</v>
      </c>
      <c r="J8" t="s">
        <v>71</v>
      </c>
      <c r="L8" s="3" t="s">
        <v>646</v>
      </c>
    </row>
    <row r="9" spans="1:12" x14ac:dyDescent="0.4">
      <c r="A9" t="s">
        <v>18</v>
      </c>
      <c r="B9" t="s">
        <v>19</v>
      </c>
      <c r="C9" t="s">
        <v>11</v>
      </c>
      <c r="D9" t="s">
        <v>20</v>
      </c>
      <c r="E9" t="s">
        <v>21</v>
      </c>
      <c r="F9" t="s">
        <v>22</v>
      </c>
      <c r="G9" t="b">
        <v>0</v>
      </c>
      <c r="H9" t="s">
        <v>23</v>
      </c>
      <c r="I9" t="s">
        <v>24</v>
      </c>
      <c r="J9" t="s">
        <v>18</v>
      </c>
      <c r="L9" s="3" t="s">
        <v>646</v>
      </c>
    </row>
    <row r="10" spans="1:12" x14ac:dyDescent="0.4">
      <c r="A10" t="s">
        <v>258</v>
      </c>
      <c r="B10" t="s">
        <v>259</v>
      </c>
      <c r="C10" t="s">
        <v>11</v>
      </c>
      <c r="D10" t="s">
        <v>260</v>
      </c>
      <c r="E10" t="s">
        <v>261</v>
      </c>
      <c r="F10" t="s">
        <v>262</v>
      </c>
      <c r="G10" t="b">
        <v>0</v>
      </c>
      <c r="H10" t="s">
        <v>263</v>
      </c>
      <c r="I10" t="s">
        <v>264</v>
      </c>
      <c r="J10" t="s">
        <v>258</v>
      </c>
      <c r="K10">
        <v>1</v>
      </c>
      <c r="L10" s="5" t="s">
        <v>648</v>
      </c>
    </row>
    <row r="11" spans="1:12" x14ac:dyDescent="0.4">
      <c r="A11" t="s">
        <v>441</v>
      </c>
      <c r="B11" t="s">
        <v>442</v>
      </c>
      <c r="C11" t="s">
        <v>11</v>
      </c>
      <c r="D11" t="s">
        <v>443</v>
      </c>
      <c r="E11" t="s">
        <v>444</v>
      </c>
      <c r="F11" t="s">
        <v>88</v>
      </c>
      <c r="G11" t="b">
        <v>1</v>
      </c>
      <c r="H11" t="s">
        <v>445</v>
      </c>
      <c r="I11" t="s">
        <v>446</v>
      </c>
      <c r="J11" t="s">
        <v>441</v>
      </c>
      <c r="L11" s="3" t="s">
        <v>646</v>
      </c>
    </row>
    <row r="12" spans="1:12" x14ac:dyDescent="0.4">
      <c r="A12" t="s">
        <v>58</v>
      </c>
      <c r="B12" t="s">
        <v>59</v>
      </c>
      <c r="C12" t="s">
        <v>11</v>
      </c>
      <c r="D12" t="s">
        <v>60</v>
      </c>
      <c r="E12" t="s">
        <v>61</v>
      </c>
      <c r="F12" t="s">
        <v>62</v>
      </c>
      <c r="G12" t="b">
        <v>0</v>
      </c>
      <c r="H12" t="s">
        <v>63</v>
      </c>
      <c r="I12" t="s">
        <v>64</v>
      </c>
      <c r="J12" t="s">
        <v>58</v>
      </c>
      <c r="K12">
        <v>1</v>
      </c>
      <c r="L12" s="5" t="s">
        <v>648</v>
      </c>
    </row>
    <row r="13" spans="1:12" x14ac:dyDescent="0.4">
      <c r="A13" t="s">
        <v>424</v>
      </c>
      <c r="B13" t="s">
        <v>425</v>
      </c>
      <c r="C13" t="s">
        <v>11</v>
      </c>
      <c r="D13" t="s">
        <v>426</v>
      </c>
      <c r="E13" t="s">
        <v>427</v>
      </c>
      <c r="F13" t="s">
        <v>428</v>
      </c>
      <c r="G13" t="b">
        <v>0</v>
      </c>
      <c r="H13" t="s">
        <v>429</v>
      </c>
      <c r="I13" t="s">
        <v>430</v>
      </c>
      <c r="J13" t="s">
        <v>424</v>
      </c>
      <c r="L13" s="3" t="s">
        <v>646</v>
      </c>
    </row>
    <row r="14" spans="1:12" x14ac:dyDescent="0.4">
      <c r="A14" t="s">
        <v>431</v>
      </c>
      <c r="B14" t="s">
        <v>432</v>
      </c>
      <c r="C14" t="s">
        <v>79</v>
      </c>
      <c r="D14" t="s">
        <v>433</v>
      </c>
      <c r="E14" t="s">
        <v>434</v>
      </c>
      <c r="F14" t="s">
        <v>435</v>
      </c>
      <c r="G14" t="b">
        <v>0</v>
      </c>
      <c r="H14" t="s">
        <v>436</v>
      </c>
      <c r="I14" t="s">
        <v>437</v>
      </c>
      <c r="J14" t="s">
        <v>431</v>
      </c>
      <c r="L14" s="3" t="s">
        <v>646</v>
      </c>
    </row>
    <row r="15" spans="1:12" x14ac:dyDescent="0.4">
      <c r="A15" t="s">
        <v>411</v>
      </c>
      <c r="B15" t="s">
        <v>412</v>
      </c>
      <c r="C15" t="s">
        <v>11</v>
      </c>
      <c r="D15" t="s">
        <v>413</v>
      </c>
      <c r="E15" t="s">
        <v>414</v>
      </c>
      <c r="F15" t="s">
        <v>415</v>
      </c>
      <c r="G15" t="b">
        <v>0</v>
      </c>
      <c r="H15" t="s">
        <v>416</v>
      </c>
      <c r="I15" t="s">
        <v>417</v>
      </c>
      <c r="J15" t="s">
        <v>411</v>
      </c>
      <c r="L15" s="4" t="s">
        <v>647</v>
      </c>
    </row>
    <row r="16" spans="1:12" x14ac:dyDescent="0.4">
      <c r="A16" t="s">
        <v>252</v>
      </c>
      <c r="B16" t="s">
        <v>253</v>
      </c>
      <c r="C16" t="s">
        <v>11</v>
      </c>
      <c r="D16" t="s">
        <v>254</v>
      </c>
      <c r="E16" t="s">
        <v>255</v>
      </c>
      <c r="F16" t="s">
        <v>49</v>
      </c>
      <c r="G16" t="b">
        <v>0</v>
      </c>
      <c r="H16" t="s">
        <v>256</v>
      </c>
      <c r="I16" t="s">
        <v>257</v>
      </c>
      <c r="J16" t="s">
        <v>252</v>
      </c>
      <c r="L16" s="3" t="s">
        <v>646</v>
      </c>
    </row>
    <row r="17" spans="1:12" x14ac:dyDescent="0.4">
      <c r="A17" t="s">
        <v>275</v>
      </c>
      <c r="B17" t="s">
        <v>276</v>
      </c>
      <c r="C17" t="s">
        <v>11</v>
      </c>
      <c r="D17" t="s">
        <v>277</v>
      </c>
      <c r="E17" t="s">
        <v>278</v>
      </c>
      <c r="F17" t="s">
        <v>49</v>
      </c>
      <c r="G17" t="b">
        <v>0</v>
      </c>
      <c r="H17" t="s">
        <v>279</v>
      </c>
      <c r="I17" t="s">
        <v>280</v>
      </c>
      <c r="J17" t="s">
        <v>275</v>
      </c>
      <c r="K17">
        <v>1</v>
      </c>
      <c r="L17" s="3" t="s">
        <v>646</v>
      </c>
    </row>
    <row r="18" spans="1:12" x14ac:dyDescent="0.4">
      <c r="A18" t="s">
        <v>199</v>
      </c>
      <c r="B18" t="s">
        <v>200</v>
      </c>
      <c r="C18" t="s">
        <v>11</v>
      </c>
      <c r="D18" t="s">
        <v>201</v>
      </c>
      <c r="E18" t="s">
        <v>202</v>
      </c>
      <c r="F18" t="s">
        <v>203</v>
      </c>
      <c r="G18" t="b">
        <v>0</v>
      </c>
      <c r="H18" t="s">
        <v>204</v>
      </c>
      <c r="I18" t="s">
        <v>205</v>
      </c>
      <c r="J18" t="s">
        <v>199</v>
      </c>
      <c r="L18" s="4" t="s">
        <v>647</v>
      </c>
    </row>
    <row r="19" spans="1:12" x14ac:dyDescent="0.4">
      <c r="A19" t="s">
        <v>92</v>
      </c>
      <c r="B19" t="s">
        <v>93</v>
      </c>
      <c r="C19" t="s">
        <v>11</v>
      </c>
      <c r="D19" t="s">
        <v>94</v>
      </c>
      <c r="E19" t="s">
        <v>95</v>
      </c>
      <c r="F19" t="s">
        <v>96</v>
      </c>
      <c r="G19" t="b">
        <v>0</v>
      </c>
      <c r="H19" t="s">
        <v>97</v>
      </c>
      <c r="I19" t="s">
        <v>98</v>
      </c>
      <c r="J19" t="s">
        <v>92</v>
      </c>
      <c r="L19" s="4" t="s">
        <v>647</v>
      </c>
    </row>
    <row r="20" spans="1:12" x14ac:dyDescent="0.4">
      <c r="A20" t="s">
        <v>238</v>
      </c>
      <c r="B20" t="s">
        <v>239</v>
      </c>
      <c r="C20" t="s">
        <v>11</v>
      </c>
      <c r="D20" t="s">
        <v>240</v>
      </c>
      <c r="E20" t="s">
        <v>241</v>
      </c>
      <c r="F20" t="s">
        <v>242</v>
      </c>
      <c r="G20" t="b">
        <v>1</v>
      </c>
      <c r="H20" t="s">
        <v>243</v>
      </c>
      <c r="I20" t="s">
        <v>244</v>
      </c>
      <c r="J20" t="s">
        <v>238</v>
      </c>
      <c r="L20" s="4" t="s">
        <v>647</v>
      </c>
    </row>
    <row r="21" spans="1:12" x14ac:dyDescent="0.4">
      <c r="A21" t="s">
        <v>572</v>
      </c>
      <c r="B21" t="s">
        <v>573</v>
      </c>
      <c r="C21" t="s">
        <v>486</v>
      </c>
      <c r="D21" t="s">
        <v>574</v>
      </c>
      <c r="E21" t="s">
        <v>575</v>
      </c>
      <c r="F21" t="s">
        <v>489</v>
      </c>
      <c r="G21" t="b">
        <v>0</v>
      </c>
      <c r="H21" t="s">
        <v>576</v>
      </c>
      <c r="I21" t="s">
        <v>577</v>
      </c>
      <c r="J21" t="s">
        <v>572</v>
      </c>
      <c r="L21" s="5" t="s">
        <v>648</v>
      </c>
    </row>
    <row r="22" spans="1:12" x14ac:dyDescent="0.4">
      <c r="A22" t="s">
        <v>484</v>
      </c>
      <c r="B22" t="s">
        <v>485</v>
      </c>
      <c r="C22" t="s">
        <v>486</v>
      </c>
      <c r="D22" t="s">
        <v>487</v>
      </c>
      <c r="E22" t="s">
        <v>488</v>
      </c>
      <c r="F22" t="s">
        <v>489</v>
      </c>
      <c r="G22" t="b">
        <v>0</v>
      </c>
      <c r="H22" t="s">
        <v>490</v>
      </c>
      <c r="I22" t="s">
        <v>491</v>
      </c>
      <c r="J22" t="s">
        <v>484</v>
      </c>
      <c r="L22" s="4" t="s">
        <v>647</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5DAC2-1F62-4F56-8CB6-D511F7B10EE5}">
  <dimension ref="A1:L22"/>
  <sheetViews>
    <sheetView topLeftCell="D1" workbookViewId="0">
      <pane ySplit="1" topLeftCell="A2" activePane="bottomLeft" state="frozen"/>
      <selection pane="bottomLeft" activeCell="I13" sqref="I13"/>
    </sheetView>
  </sheetViews>
  <sheetFormatPr baseColWidth="10" defaultRowHeight="14.6" x14ac:dyDescent="0.4"/>
  <cols>
    <col min="1" max="1" width="23.921875" bestFit="1" customWidth="1"/>
    <col min="2" max="2" width="18.4609375" bestFit="1" customWidth="1"/>
    <col min="3" max="3" width="6.765625" bestFit="1" customWidth="1"/>
    <col min="4" max="4" width="234.3046875" bestFit="1" customWidth="1"/>
    <col min="5" max="5" width="138.23046875" bestFit="1" customWidth="1"/>
    <col min="6" max="6" width="19.23046875" bestFit="1" customWidth="1"/>
    <col min="7" max="7" width="7.765625" bestFit="1" customWidth="1"/>
    <col min="8" max="8" width="22.53515625" bestFit="1" customWidth="1"/>
    <col min="9" max="9" width="20.07421875" bestFit="1" customWidth="1"/>
    <col min="10" max="10" width="23.921875" bestFit="1" customWidth="1"/>
    <col min="11" max="11" width="23.921875" customWidth="1"/>
    <col min="12" max="12" width="11" bestFit="1" customWidth="1"/>
  </cols>
  <sheetData>
    <row r="1" spans="1:12" x14ac:dyDescent="0.4">
      <c r="A1" s="14" t="s">
        <v>0</v>
      </c>
      <c r="B1" s="14" t="s">
        <v>1</v>
      </c>
      <c r="C1" s="14" t="s">
        <v>2</v>
      </c>
      <c r="D1" s="14" t="s">
        <v>3</v>
      </c>
      <c r="E1" s="14" t="s">
        <v>4</v>
      </c>
      <c r="F1" s="14" t="s">
        <v>5</v>
      </c>
      <c r="G1" s="14" t="s">
        <v>6</v>
      </c>
      <c r="H1" s="14" t="s">
        <v>7</v>
      </c>
      <c r="I1" s="14" t="s">
        <v>8</v>
      </c>
      <c r="J1" s="14" t="s">
        <v>0</v>
      </c>
      <c r="K1" s="14" t="s">
        <v>644</v>
      </c>
      <c r="L1" s="14" t="s">
        <v>645</v>
      </c>
    </row>
    <row r="2" spans="1:12" x14ac:dyDescent="0.4">
      <c r="A2" t="s">
        <v>245</v>
      </c>
      <c r="B2" t="s">
        <v>246</v>
      </c>
      <c r="C2" t="s">
        <v>11</v>
      </c>
      <c r="D2" t="s">
        <v>247</v>
      </c>
      <c r="E2" t="s">
        <v>248</v>
      </c>
      <c r="F2" t="s">
        <v>249</v>
      </c>
      <c r="G2" t="b">
        <v>0</v>
      </c>
      <c r="H2" t="s">
        <v>250</v>
      </c>
      <c r="I2" t="s">
        <v>251</v>
      </c>
      <c r="J2" t="s">
        <v>245</v>
      </c>
      <c r="K2">
        <v>3</v>
      </c>
      <c r="L2" s="5" t="s">
        <v>648</v>
      </c>
    </row>
    <row r="3" spans="1:12" x14ac:dyDescent="0.4">
      <c r="A3" t="s">
        <v>258</v>
      </c>
      <c r="B3" t="s">
        <v>259</v>
      </c>
      <c r="C3" t="s">
        <v>11</v>
      </c>
      <c r="D3" t="s">
        <v>260</v>
      </c>
      <c r="E3" t="s">
        <v>261</v>
      </c>
      <c r="F3" t="s">
        <v>262</v>
      </c>
      <c r="G3" t="b">
        <v>0</v>
      </c>
      <c r="H3" t="s">
        <v>263</v>
      </c>
      <c r="I3" t="s">
        <v>264</v>
      </c>
      <c r="J3" t="s">
        <v>258</v>
      </c>
      <c r="K3">
        <v>1</v>
      </c>
      <c r="L3" s="5" t="s">
        <v>648</v>
      </c>
    </row>
    <row r="4" spans="1:12" x14ac:dyDescent="0.4">
      <c r="A4" t="s">
        <v>364</v>
      </c>
      <c r="B4" t="s">
        <v>365</v>
      </c>
      <c r="C4" t="s">
        <v>11</v>
      </c>
      <c r="D4" t="s">
        <v>366</v>
      </c>
      <c r="E4" t="s">
        <v>367</v>
      </c>
      <c r="F4" t="s">
        <v>349</v>
      </c>
      <c r="G4" t="b">
        <v>0</v>
      </c>
      <c r="H4" t="s">
        <v>368</v>
      </c>
      <c r="I4" t="s">
        <v>369</v>
      </c>
      <c r="J4" t="s">
        <v>364</v>
      </c>
      <c r="K4">
        <v>1</v>
      </c>
      <c r="L4" s="3" t="s">
        <v>646</v>
      </c>
    </row>
    <row r="5" spans="1:12" x14ac:dyDescent="0.4">
      <c r="A5" t="s">
        <v>345</v>
      </c>
      <c r="B5" t="s">
        <v>346</v>
      </c>
      <c r="C5" t="s">
        <v>11</v>
      </c>
      <c r="D5" t="s">
        <v>347</v>
      </c>
      <c r="E5" t="s">
        <v>348</v>
      </c>
      <c r="F5" t="s">
        <v>349</v>
      </c>
      <c r="G5" t="b">
        <v>0</v>
      </c>
      <c r="H5" t="s">
        <v>350</v>
      </c>
      <c r="I5" t="s">
        <v>351</v>
      </c>
      <c r="J5" t="s">
        <v>345</v>
      </c>
      <c r="L5" s="3" t="s">
        <v>646</v>
      </c>
    </row>
    <row r="6" spans="1:12" x14ac:dyDescent="0.4">
      <c r="A6" t="s">
        <v>252</v>
      </c>
      <c r="B6" t="s">
        <v>253</v>
      </c>
      <c r="C6" t="s">
        <v>11</v>
      </c>
      <c r="D6" t="s">
        <v>254</v>
      </c>
      <c r="E6" t="s">
        <v>255</v>
      </c>
      <c r="F6" t="s">
        <v>49</v>
      </c>
      <c r="G6" t="b">
        <v>0</v>
      </c>
      <c r="H6" t="s">
        <v>256</v>
      </c>
      <c r="I6" t="s">
        <v>257</v>
      </c>
      <c r="J6" t="s">
        <v>252</v>
      </c>
      <c r="K6">
        <v>1</v>
      </c>
      <c r="L6" s="3" t="s">
        <v>646</v>
      </c>
    </row>
    <row r="7" spans="1:12" x14ac:dyDescent="0.4">
      <c r="A7" t="s">
        <v>302</v>
      </c>
      <c r="B7" t="s">
        <v>303</v>
      </c>
      <c r="C7" t="s">
        <v>11</v>
      </c>
      <c r="D7" t="s">
        <v>304</v>
      </c>
      <c r="E7" t="s">
        <v>305</v>
      </c>
      <c r="F7" t="s">
        <v>306</v>
      </c>
      <c r="G7" t="b">
        <v>1</v>
      </c>
      <c r="H7" t="s">
        <v>307</v>
      </c>
      <c r="I7" t="s">
        <v>308</v>
      </c>
      <c r="J7" t="s">
        <v>302</v>
      </c>
      <c r="L7" s="4" t="s">
        <v>647</v>
      </c>
    </row>
    <row r="8" spans="1:12" x14ac:dyDescent="0.4">
      <c r="A8" t="s">
        <v>411</v>
      </c>
      <c r="B8" t="s">
        <v>412</v>
      </c>
      <c r="C8" t="s">
        <v>11</v>
      </c>
      <c r="D8" t="s">
        <v>413</v>
      </c>
      <c r="E8" t="s">
        <v>414</v>
      </c>
      <c r="F8" t="s">
        <v>415</v>
      </c>
      <c r="G8" t="b">
        <v>0</v>
      </c>
      <c r="H8" t="s">
        <v>416</v>
      </c>
      <c r="I8" t="s">
        <v>417</v>
      </c>
      <c r="J8" t="s">
        <v>411</v>
      </c>
      <c r="L8" s="3" t="s">
        <v>646</v>
      </c>
    </row>
    <row r="9" spans="1:12" x14ac:dyDescent="0.4">
      <c r="A9" t="s">
        <v>418</v>
      </c>
      <c r="B9" t="s">
        <v>419</v>
      </c>
      <c r="C9" t="s">
        <v>79</v>
      </c>
      <c r="D9" t="s">
        <v>420</v>
      </c>
      <c r="E9" t="s">
        <v>421</v>
      </c>
      <c r="F9" t="s">
        <v>415</v>
      </c>
      <c r="G9" t="b">
        <v>0</v>
      </c>
      <c r="H9" t="s">
        <v>422</v>
      </c>
      <c r="I9" t="s">
        <v>423</v>
      </c>
      <c r="J9" t="s">
        <v>418</v>
      </c>
      <c r="L9" s="4" t="s">
        <v>647</v>
      </c>
    </row>
    <row r="10" spans="1:12" x14ac:dyDescent="0.4">
      <c r="A10" t="s">
        <v>322</v>
      </c>
      <c r="B10" t="s">
        <v>323</v>
      </c>
      <c r="C10" t="s">
        <v>11</v>
      </c>
      <c r="D10" t="s">
        <v>324</v>
      </c>
      <c r="E10" t="s">
        <v>325</v>
      </c>
      <c r="F10" t="s">
        <v>326</v>
      </c>
      <c r="G10" t="b">
        <v>1</v>
      </c>
      <c r="H10" t="s">
        <v>327</v>
      </c>
      <c r="I10" t="s">
        <v>328</v>
      </c>
      <c r="J10" t="s">
        <v>322</v>
      </c>
      <c r="L10" s="4" t="s">
        <v>647</v>
      </c>
    </row>
    <row r="11" spans="1:12" x14ac:dyDescent="0.4">
      <c r="A11" t="s">
        <v>9</v>
      </c>
      <c r="B11" t="s">
        <v>10</v>
      </c>
      <c r="C11" t="s">
        <v>11</v>
      </c>
      <c r="D11" t="s">
        <v>12</v>
      </c>
      <c r="E11" t="s">
        <v>13</v>
      </c>
      <c r="F11" t="s">
        <v>14</v>
      </c>
      <c r="G11" t="b">
        <v>0</v>
      </c>
      <c r="H11" t="s">
        <v>16</v>
      </c>
      <c r="I11" t="s">
        <v>17</v>
      </c>
      <c r="J11" t="s">
        <v>9</v>
      </c>
      <c r="K11">
        <v>2</v>
      </c>
      <c r="L11" s="5" t="s">
        <v>648</v>
      </c>
    </row>
    <row r="12" spans="1:12" x14ac:dyDescent="0.4">
      <c r="A12" t="s">
        <v>652</v>
      </c>
      <c r="B12" t="s">
        <v>26</v>
      </c>
      <c r="C12" t="s">
        <v>11</v>
      </c>
      <c r="D12" t="s">
        <v>27</v>
      </c>
      <c r="E12" t="s">
        <v>28</v>
      </c>
      <c r="F12" t="s">
        <v>22</v>
      </c>
      <c r="G12" t="b">
        <v>0</v>
      </c>
      <c r="H12" t="s">
        <v>29</v>
      </c>
      <c r="I12" t="s">
        <v>30</v>
      </c>
      <c r="J12" t="s">
        <v>652</v>
      </c>
      <c r="L12" s="5" t="s">
        <v>648</v>
      </c>
    </row>
    <row r="13" spans="1:12" x14ac:dyDescent="0.4">
      <c r="A13" t="s">
        <v>663</v>
      </c>
      <c r="B13" t="s">
        <v>664</v>
      </c>
      <c r="C13" t="s">
        <v>663</v>
      </c>
      <c r="D13" t="s">
        <v>665</v>
      </c>
      <c r="E13" t="s">
        <v>666</v>
      </c>
      <c r="F13" t="s">
        <v>14</v>
      </c>
      <c r="G13" t="b">
        <v>0</v>
      </c>
      <c r="H13" t="s">
        <v>667</v>
      </c>
      <c r="I13" t="s">
        <v>668</v>
      </c>
      <c r="J13" t="s">
        <v>663</v>
      </c>
      <c r="K13">
        <v>1.5</v>
      </c>
      <c r="L13" s="3" t="s">
        <v>646</v>
      </c>
    </row>
    <row r="14" spans="1:12" x14ac:dyDescent="0.4">
      <c r="A14" t="s">
        <v>52</v>
      </c>
      <c r="B14" t="s">
        <v>53</v>
      </c>
      <c r="C14" t="s">
        <v>11</v>
      </c>
      <c r="D14" t="s">
        <v>54</v>
      </c>
      <c r="E14" t="s">
        <v>55</v>
      </c>
      <c r="F14" t="s">
        <v>49</v>
      </c>
      <c r="G14" t="b">
        <v>0</v>
      </c>
      <c r="H14" t="s">
        <v>56</v>
      </c>
      <c r="I14" t="s">
        <v>57</v>
      </c>
      <c r="J14" t="s">
        <v>52</v>
      </c>
      <c r="L14" s="5" t="s">
        <v>648</v>
      </c>
    </row>
    <row r="15" spans="1:12" x14ac:dyDescent="0.4">
      <c r="A15" t="s">
        <v>18</v>
      </c>
      <c r="B15" t="s">
        <v>19</v>
      </c>
      <c r="C15" t="s">
        <v>11</v>
      </c>
      <c r="D15" t="s">
        <v>20</v>
      </c>
      <c r="E15" t="s">
        <v>21</v>
      </c>
      <c r="F15" t="s">
        <v>22</v>
      </c>
      <c r="G15" t="b">
        <v>0</v>
      </c>
      <c r="H15" t="s">
        <v>23</v>
      </c>
      <c r="I15" t="s">
        <v>24</v>
      </c>
      <c r="J15" t="s">
        <v>18</v>
      </c>
      <c r="L15" s="3" t="s">
        <v>646</v>
      </c>
    </row>
    <row r="16" spans="1:12" x14ac:dyDescent="0.4">
      <c r="A16" t="s">
        <v>84</v>
      </c>
      <c r="B16" t="s">
        <v>85</v>
      </c>
      <c r="C16" t="s">
        <v>11</v>
      </c>
      <c r="D16" t="s">
        <v>86</v>
      </c>
      <c r="E16" t="s">
        <v>87</v>
      </c>
      <c r="F16" t="s">
        <v>88</v>
      </c>
      <c r="G16" t="b">
        <v>1</v>
      </c>
      <c r="H16" t="s">
        <v>90</v>
      </c>
      <c r="I16" t="s">
        <v>91</v>
      </c>
      <c r="J16" t="s">
        <v>84</v>
      </c>
      <c r="K16">
        <v>1</v>
      </c>
      <c r="L16" s="3" t="s">
        <v>646</v>
      </c>
    </row>
    <row r="17" spans="1:12" x14ac:dyDescent="0.4">
      <c r="A17" t="s">
        <v>77</v>
      </c>
      <c r="B17" t="s">
        <v>78</v>
      </c>
      <c r="C17" t="s">
        <v>79</v>
      </c>
      <c r="D17" t="s">
        <v>80</v>
      </c>
      <c r="E17" t="s">
        <v>81</v>
      </c>
      <c r="F17" t="s">
        <v>49</v>
      </c>
      <c r="G17" t="b">
        <v>0</v>
      </c>
      <c r="H17" t="s">
        <v>82</v>
      </c>
      <c r="I17" t="s">
        <v>83</v>
      </c>
      <c r="J17" t="s">
        <v>77</v>
      </c>
      <c r="L17" s="3" t="s">
        <v>646</v>
      </c>
    </row>
    <row r="18" spans="1:12" x14ac:dyDescent="0.4">
      <c r="A18" t="s">
        <v>212</v>
      </c>
      <c r="B18" t="s">
        <v>213</v>
      </c>
      <c r="C18" t="s">
        <v>11</v>
      </c>
      <c r="D18" t="s">
        <v>214</v>
      </c>
      <c r="E18" t="s">
        <v>215</v>
      </c>
      <c r="F18" t="s">
        <v>216</v>
      </c>
      <c r="G18" t="b">
        <v>0</v>
      </c>
      <c r="H18" t="s">
        <v>217</v>
      </c>
      <c r="I18" t="s">
        <v>218</v>
      </c>
      <c r="J18" t="s">
        <v>212</v>
      </c>
      <c r="L18" s="4" t="s">
        <v>647</v>
      </c>
    </row>
    <row r="19" spans="1:12" x14ac:dyDescent="0.4">
      <c r="A19" t="s">
        <v>92</v>
      </c>
      <c r="B19" t="s">
        <v>93</v>
      </c>
      <c r="C19" t="s">
        <v>11</v>
      </c>
      <c r="D19" t="s">
        <v>94</v>
      </c>
      <c r="E19" t="s">
        <v>95</v>
      </c>
      <c r="F19" t="s">
        <v>96</v>
      </c>
      <c r="G19" t="b">
        <v>0</v>
      </c>
      <c r="H19" t="s">
        <v>97</v>
      </c>
      <c r="I19" t="s">
        <v>98</v>
      </c>
      <c r="J19" t="s">
        <v>92</v>
      </c>
      <c r="L19" s="4" t="s">
        <v>647</v>
      </c>
    </row>
    <row r="20" spans="1:12" x14ac:dyDescent="0.4">
      <c r="A20" t="s">
        <v>31</v>
      </c>
      <c r="B20" t="s">
        <v>32</v>
      </c>
      <c r="C20" t="s">
        <v>11</v>
      </c>
      <c r="D20" t="s">
        <v>33</v>
      </c>
      <c r="E20" t="s">
        <v>34</v>
      </c>
      <c r="F20" t="s">
        <v>35</v>
      </c>
      <c r="G20" t="b">
        <v>0</v>
      </c>
      <c r="H20" t="s">
        <v>36</v>
      </c>
      <c r="I20" t="s">
        <v>37</v>
      </c>
      <c r="J20" t="s">
        <v>31</v>
      </c>
      <c r="L20" s="3" t="s">
        <v>646</v>
      </c>
    </row>
    <row r="21" spans="1:12" x14ac:dyDescent="0.4">
      <c r="A21" t="s">
        <v>572</v>
      </c>
      <c r="B21" t="s">
        <v>573</v>
      </c>
      <c r="C21" t="s">
        <v>486</v>
      </c>
      <c r="D21" t="s">
        <v>574</v>
      </c>
      <c r="E21" t="s">
        <v>575</v>
      </c>
      <c r="F21" t="s">
        <v>489</v>
      </c>
      <c r="G21" t="b">
        <v>0</v>
      </c>
      <c r="H21" t="s">
        <v>576</v>
      </c>
      <c r="I21" t="s">
        <v>577</v>
      </c>
      <c r="J21" t="s">
        <v>572</v>
      </c>
      <c r="L21" s="3" t="s">
        <v>646</v>
      </c>
    </row>
    <row r="22" spans="1:12" x14ac:dyDescent="0.4">
      <c r="A22" t="s">
        <v>484</v>
      </c>
      <c r="B22" t="s">
        <v>485</v>
      </c>
      <c r="C22" t="s">
        <v>486</v>
      </c>
      <c r="D22" t="s">
        <v>487</v>
      </c>
      <c r="E22" t="s">
        <v>488</v>
      </c>
      <c r="F22" t="s">
        <v>489</v>
      </c>
      <c r="G22" t="b">
        <v>0</v>
      </c>
      <c r="H22" t="s">
        <v>490</v>
      </c>
      <c r="I22" t="s">
        <v>491</v>
      </c>
      <c r="J22" t="s">
        <v>484</v>
      </c>
      <c r="L22" s="4" t="s">
        <v>647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34</vt:i4>
      </vt:variant>
    </vt:vector>
  </HeadingPairs>
  <TitlesOfParts>
    <vt:vector size="34" baseType="lpstr">
      <vt:lpstr>feature_catalog</vt:lpstr>
      <vt:lpstr>gardien_classique</vt:lpstr>
      <vt:lpstr>gardien_libero</vt:lpstr>
      <vt:lpstr>gardien_relanceur</vt:lpstr>
      <vt:lpstr>defenseur_central</vt:lpstr>
      <vt:lpstr>relanceur</vt:lpstr>
      <vt:lpstr>stoppeur</vt:lpstr>
      <vt:lpstr>libero_defensif</vt:lpstr>
      <vt:lpstr>tour_de_controle</vt:lpstr>
      <vt:lpstr>aventureux</vt:lpstr>
      <vt:lpstr>lateral_classique</vt:lpstr>
      <vt:lpstr>piston</vt:lpstr>
      <vt:lpstr>defenseur_lateral</vt:lpstr>
      <vt:lpstr>lateral_inverse</vt:lpstr>
      <vt:lpstr>lateral_pressing</vt:lpstr>
      <vt:lpstr>sentinelle</vt:lpstr>
      <vt:lpstr>recuperateur_DM</vt:lpstr>
      <vt:lpstr>meneur_jeu_recule_DM</vt:lpstr>
      <vt:lpstr>recuperateur_CM</vt:lpstr>
      <vt:lpstr>box_to_box</vt:lpstr>
      <vt:lpstr>meneur_jeu_offensif_CM</vt:lpstr>
      <vt:lpstr>meneur_jeu_recule_CM</vt:lpstr>
      <vt:lpstr>electron_libre</vt:lpstr>
      <vt:lpstr>meneur_jeu_offensif_AM</vt:lpstr>
      <vt:lpstr>interieur</vt:lpstr>
      <vt:lpstr>profondeur_W</vt:lpstr>
      <vt:lpstr>percuteur</vt:lpstr>
      <vt:lpstr>excentre</vt:lpstr>
      <vt:lpstr>ailier_defensif</vt:lpstr>
      <vt:lpstr>Pivot</vt:lpstr>
      <vt:lpstr>profondeur_CF</vt:lpstr>
      <vt:lpstr>faux_9</vt:lpstr>
      <vt:lpstr>renard_surfaces</vt:lpstr>
      <vt:lpstr>attaquant_pressing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martin augereau</cp:lastModifiedBy>
  <dcterms:created xsi:type="dcterms:W3CDTF">2026-05-27T08:05:37Z</dcterms:created>
  <dcterms:modified xsi:type="dcterms:W3CDTF">2026-06-01T13:09:59Z</dcterms:modified>
</cp:coreProperties>
</file>